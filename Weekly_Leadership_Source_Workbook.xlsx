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93F753A3-D275-4A0B-9FF4-3532B6199207}" xr6:coauthVersionLast="47" xr6:coauthVersionMax="47" xr10:uidLastSave="{00000000-0000-0000-0000-000000000000}"/>
  <bookViews>
    <workbookView xWindow="-110" yWindow="-110" windowWidth="19420" windowHeight="11500" xr2:uid="{00000000-000D-0000-FFFF-FFFF00000000}"/>
  </bookViews>
  <sheets>
    <sheet name="IT 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<sst xmlns="http://schemas.openxmlformats.org/spreadsheetml/2006/main" count="1654" uniqueCount="1163">
  <si>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</si>
  <si>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</si>
  <si>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</si>
  <si>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</si>
  <si>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</si>
  <si>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</si>
  <si>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</si>
  <si>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</si>
  <si>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</si>
  <si>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</si>
  <si>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</si>
  <si>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</si>
  <si>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</si>
  <si>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</si>
  <si>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</si>
  <si>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</si>
  <si>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</si>
  <si>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</si>
  <si>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</si>
  <si>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</si>
  <si>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</si>
  <si>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</si>
  <si>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</si>
  <si>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</si>
  <si>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</si>
  <si>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</si>
  <si>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</si>
  <si>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</si>
  <si>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</si>
  <si>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</si>
  <si>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</si>
  <si>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</si>
  <si>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</si>
  <si>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</si>
  <si>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</si>
  <si>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</si>
  <si>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</si>
  <si>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</si>
  <si>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</si>
  <si>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</si>
  <si>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</si>
  <si>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</si>
  <si>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</si>
  <si>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</si>
  <si>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</si>
  <si>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</si>
  <si>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</si>
  <si>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</si>
  <si>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</si>
  <si>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</si>
  <si>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</si>
  <si>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</si>
  <si>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</si>
  <si>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</si>
  <si>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</si>
  <si>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</si>
  <si>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</si>
  <si>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</si>
  <si>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</si>
  <si>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</si>
  <si>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</si>
  <si>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</si>
  <si>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</si>
  <si>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</si>
  <si>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</si>
  <si>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</si>
  <si>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</si>
  <si>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</si>
  <si>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</si>
  <si>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</si>
  <si>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</si>
  <si>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</si>
  <si>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</si>
  <si>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</si>
  <si>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</si>
  <si>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</si>
  <si>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</si>
  <si>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</si>
  <si>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</si>
  <si>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</si>
  <si>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</si>
  <si>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</si>
  <si>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</si>
  <si>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</si>
  <si>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</si>
  <si>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</si>
  <si>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</si>
  <si>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</si>
  <si>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</si>
  <si>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</si>
  <si>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</si>
  <si>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</si>
  <si>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</si>
  <si>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</si>
  <si>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</si>
  <si>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</si>
  <si>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</si>
  <si>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</si>
  <si>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</si>
  <si>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</si>
  <si>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</si>
  <si>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</si>
  <si>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</si>
  <si>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</si>
  <si>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</si>
  <si>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</si>
  <si>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</si>
  <si>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</si>
  <si>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</si>
  <si>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</si>
  <si>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</si>
  <si>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</si>
  <si>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</si>
  <si>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</si>
  <si>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</si>
  <si>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</si>
  <si>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</si>
  <si>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</si>
  <si>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</si>
  <si>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</si>
  <si>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</si>
  <si>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</si>
  <si>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</si>
  <si>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</si>
  <si>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</si>
  <si>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</si>
  <si>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</si>
  <si>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</si>
  <si>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</si>
  <si>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</si>
  <si>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</si>
  <si>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</si>
  <si>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</si>
  <si>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</si>
  <si>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</si>
  <si>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</si>
  <si>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</si>
  <si>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</si>
  <si>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</si>
  <si>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</si>
  <si>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</si>
  <si>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</si>
  <si>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</si>
  <si>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</si>
  <si>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</si>
  <si>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</si>
  <si>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</si>
  <si>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</si>
  <si>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</si>
  <si>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</si>
  <si>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</si>
  <si>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</si>
  <si>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</si>
  <si>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</si>
  <si>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</si>
  <si>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</si>
  <si>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</si>
  <si>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</si>
  <si>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</si>
  <si>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</si>
  <si>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</si>
  <si>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</si>
  <si>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</si>
  <si>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</si>
  <si>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</si>
  <si>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</si>
  <si>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</si>
  <si>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</si>
  <si>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</si>
  <si>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</si>
  <si>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</si>
  <si>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</si>
  <si>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</si>
  <si>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</si>
  <si>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</si>
  <si>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</si>
  <si>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</si>
  <si>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</si>
  <si>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</si>
  <si>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</si>
  <si>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</si>
  <si>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</si>
  <si>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</si>
  <si>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</si>
  <si>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</si>
  <si>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</si>
  <si>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</si>
  <si>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</si>
  <si>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</si>
  <si>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</si>
  <si>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</si>
  <si>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</si>
  <si>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</si>
  <si>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</si>
  <si>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</si>
  <si>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</si>
  <si>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</si>
  <si>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</si>
  <si>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</si>
  <si>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</si>
  <si>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</si>
  <si>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</si>
  <si>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</si>
  <si>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</si>
  <si>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</si>
  <si>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</si>
  <si>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</si>
  <si>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</si>
  <si>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</si>
  <si>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</si>
  <si>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</si>
  <si>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</si>
  <si>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</si>
  <si>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</si>
  <si>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</si>
  <si>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</si>
  <si>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</si>
  <si>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</si>
  <si>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</si>
  <si>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</si>
  <si>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</si>
  <si>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</si>
  <si>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</si>
  <si>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</si>
  <si>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</si>
  <si>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</si>
  <si>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</si>
  <si>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</si>
  <si>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</si>
  <si>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</si>
  <si>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</si>
  <si>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</si>
  <si>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</si>
  <si>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</si>
  <si>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</si>
  <si>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</si>
  <si>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</si>
  <si>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</si>
  <si>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</si>
  <si>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</si>
  <si>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</si>
  <si>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</si>
  <si>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</si>
  <si>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</si>
  <si>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</si>
  <si>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</si>
  <si>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</si>
  <si>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</si>
  <si>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</si>
  <si>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</si>
  <si>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</si>
  <si>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</si>
  <si>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</si>
  <si>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</si>
  <si>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</si>
  <si>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</si>
  <si>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</si>
  <si>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</si>
  <si>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</si>
  <si>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</si>
  <si>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</si>
  <si>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</si>
  <si>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</si>
  <si>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</si>
  <si>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</si>
  <si>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</si>
  <si>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</si>
  <si>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</si>
  <si>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</si>
  <si>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</si>
  <si>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</si>
  <si>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</si>
  <si>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</si>
  <si>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</si>
  <si>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</si>
  <si>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</si>
  <si>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</si>
  <si>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</si>
  <si>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</si>
  <si>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</si>
  <si>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</si>
  <si>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</si>
  <si>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</si>
  <si>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</si>
  <si>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</si>
  <si>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</si>
  <si>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</si>
  <si>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</si>
  <si>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</si>
  <si>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</si>
  <si>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</si>
  <si>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</si>
  <si>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</si>
  <si>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</si>
  <si>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</si>
  <si>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</si>
  <si>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</si>
  <si>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</si>
  <si>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</si>
  <si>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</si>
  <si>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</si>
  <si>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</si>
  <si>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</si>
  <si>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</si>
  <si>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</si>
  <si>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</si>
  <si>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</si>
  <si>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</si>
  <si>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</si>
  <si>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</si>
  <si>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</si>
  <si>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</si>
  <si>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</si>
  <si>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</si>
  <si>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</si>
  <si>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</si>
  <si>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Yangyang Yang, Robert,  Mike Wang</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</si>
  <si>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</si>
  <si>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</si>
  <si>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</si>
  <si>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</si>
  <si>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</si>
  <si>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</si>
  <si>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</si>
  <si>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</si>
  <si>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</si>
  <si>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</si>
  <si>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</si>
  <si>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</si>
  <si>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</si>
  <si>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</si>
  <si>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</si>
  <si>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</si>
  <si>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</si>
  <si>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</si>
  <si>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</si>
  <si>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</si>
  <si>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</si>
  <si>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</si>
  <si>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</si>
  <si>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</si>
  <si>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</si>
  <si>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</si>
  <si>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</si>
  <si>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</si>
  <si>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</si>
  <si>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</si>
  <si>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</si>
  <si>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</si>
  <si>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</si>
  <si>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</si>
  <si>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</si>
  <si>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</si>
  <si>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</si>
  <si>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</si>
  <si>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</si>
  <si>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</si>
  <si>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</si>
  <si>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</si>
  <si>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</si>
  <si>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</si>
  <si>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</si>
  <si>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</si>
  <si>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</si>
  <si>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</si>
  <si>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</si>
  <si>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</si>
  <si>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</si>
  <si>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</si>
  <si>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</si>
  <si>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</si>
  <si>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</si>
  <si>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</si>
  <si>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</si>
  <si>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</si>
  <si>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</si>
  <si>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</si>
  <si>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TBD - after technical validation</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</si>
  <si>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</si>
  <si>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</si>
  <si>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</si>
  <si>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</si>
  <si>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Davao Access to U.S. Sites</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</si>
  <si>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</si>
  <si>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</si>
  <si>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</si>
  <si>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</si>
  <si>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</si>
  <si>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</si>
  <si>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</si>
  <si>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</si>
  <si>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</si>
  <si>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</si>
  <si>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</si>
  <si>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</si>
  <si>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</si>
  <si>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</si>
  <si>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</si>
  <si>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</si>
  <si>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</si>
  <si>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</si>
  <si>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</si>
  <si>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</si>
  <si>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</si>
  <si>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</si>
  <si>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</si>
  <si>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</si>
  <si>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</si>
  <si>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</si>
  <si>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</si>
  <si>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</si>
  <si>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</si>
  <si>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</si>
  <si>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</si>
  <si>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</si>
  <si>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</si>
  <si>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</si>
  <si>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</si>
  <si>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</si>
  <si>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Erik Solis carrier update, 4-Oct-2026 PST.</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</si>
  <si>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</si>
  <si>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</si>
  <si>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</si>
  <si>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</si>
  <si>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</si>
  <si>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</si>
  <si>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</si>
  <si>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</si>
  <si>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</si>
  <si>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</si>
  <si>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</si>
  <si>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</si>
  <si>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</si>
  <si>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</si>
  <si>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</si>
  <si>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</si>
  <si>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</si>
  <si>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</si>
  <si>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</si>
  <si>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</si>
  <si>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</si>
  <si>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</si>
  <si>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</si>
  <si>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</si>
  <si>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</si>
  <si>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</si>
  <si>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</si>
  <si>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</si>
  <si>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</si>
  <si>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</si>
  <si>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</si>
  <si>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</si>
  <si>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</si>
  <si>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</si>
  <si>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</si>
  <si>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</si>
  <si>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</si>
  <si>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</si>
  <si>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</si>
  <si>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</si>
  <si>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</si>
  <si>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</si>
  <si>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</si>
  <si>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</si>
  <si>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</si>
  <si>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1228 Cornerway San Antonio Circuit Cutover</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</si>
  <si>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</si>
  <si>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</si>
  <si>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</si>
  <si>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</si>
  <si>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</si>
  <si>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</si>
  <si>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</si>
  <si>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</si>
  <si>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</si>
  <si>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</si>
  <si>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</si>
  <si>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</si>
  <si>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</si>
  <si>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</si>
  <si>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</si>
  <si>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</si>
  <si>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</si>
  <si>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Douglasville AT&amp;T Modem Return</t>
  </si>
  <si>
    <t>Goodyear Cox Disconnect</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</si>
  <si>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</si>
  <si>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</si>
  <si>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</si>
  <si>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</si>
  <si>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</si>
  <si>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</si>
  <si>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</si>
  <si>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</si>
  <si>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</si>
  <si>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</si>
  <si>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</si>
  <si>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</si>
  <si>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</si>
  <si>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</si>
  <si>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</si>
  <si>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</si>
  <si>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</si>
  <si>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</si>
  <si>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</si>
  <si>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</si>
  <si>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</si>
  <si>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</si>
  <si>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</si>
  <si>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</si>
  <si>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2026-08-31</t>
  </si>
  <si>
    <t>TBD - after pilot acceptance</t>
  </si>
  <si>
    <t>Make UnisTicket the authoritative channel for operational and customer-related work while preserving reliable ticket creation, ownership, responses, and urgent-service continuity.</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</si>
  <si>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</si>
  <si>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</si>
  <si>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</si>
  <si>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</si>
  <si>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</si>
  <si>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</si>
  <si>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</si>
  <si>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</si>
  <si>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</si>
  <si>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</si>
  <si>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</si>
  <si>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</si>
  <si>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</si>
  <si>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</si>
  <si>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</si>
  <si>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</si>
  <si>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</si>
  <si>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</si>
  <si>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</si>
  <si>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</si>
  <si>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</si>
  <si>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</si>
  <si>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</si>
  <si>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</si>
  <si>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</si>
  <si>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</si>
  <si>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</si>
  <si>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</si>
  <si>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</si>
  <si>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</si>
  <si>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BP Air Compressor and Dryer Assessment</t>
  </si>
  <si>
    <t>2026-09-25</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</si>
  <si>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</si>
  <si>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</si>
  <si>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</si>
  <si>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</si>
  <si>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</si>
  <si>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</si>
  <si>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</si>
  <si>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</si>
  <si>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</si>
  <si>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</si>
  <si>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</si>
  <si>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</si>
  <si>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</si>
  <si>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</si>
  <si>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</si>
  <si>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</si>
  <si>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</si>
  <si>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David Rodriguez / Mahan Sasani / Jerimar Castaneda / Alessandro Operations / Device Owners / Robert Moreno</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</si>
  <si>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</si>
  <si>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</si>
  <si>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</si>
  <si>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</si>
  <si>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</si>
  <si>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</si>
  <si>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</si>
  <si>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</si>
  <si>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</si>
  <si>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LAX Data Center Server Hosting Assessment</t>
  </si>
  <si>
    <t>2026-10-09</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</si>
  <si>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</si>
  <si>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</si>
  <si>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</si>
  <si>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</si>
  <si>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</si>
  <si>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</si>
  <si>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</si>
  <si>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</si>
  <si>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</si>
  <si>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</si>
  <si>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</si>
  <si>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</si>
  <si>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</si>
  <si>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</si>
  <si>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</si>
  <si>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</si>
  <si>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</si>
  <si>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</si>
  <si>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</si>
  <si>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</si>
  <si>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David Rodriguez / Network Engineering / Facilities / Site Operations / Client Owner / Carrier Owners / Robert Moreno</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</si>
  <si>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</si>
  <si>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</si>
  <si>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</si>
  <si>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</si>
  <si>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</si>
  <si>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</si>
  <si>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</si>
  <si>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</si>
  <si>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</si>
  <si>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</si>
  <si>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</si>
  <si>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</si>
  <si>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</si>
  <si>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</si>
  <si>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</si>
  <si>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</si>
  <si>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</si>
  <si>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</si>
  <si>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</si>
  <si>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</si>
  <si>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</si>
  <si>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</si>
  <si>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</si>
  <si>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</si>
  <si>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</si>
  <si>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</si>
  <si>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</si>
  <si>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</si>
  <si>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</si>
  <si>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</si>
  <si>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</si>
  <si>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</si>
  <si>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</si>
  <si>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</si>
  <si>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</si>
  <si>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</si>
  <si>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</si>
  <si>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</si>
  <si>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</si>
  <si>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</si>
  <si>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</si>
  <si>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</si>
  <si>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</si>
  <si>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</si>
  <si>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</si>
  <si>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</si>
  <si>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</si>
  <si>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</si>
  <si>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</si>
  <si>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</si>
  <si>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</si>
  <si>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</si>
  <si>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</si>
  <si>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</si>
  <si>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</si>
  <si>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</si>
  <si>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</si>
  <si>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</si>
  <si>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</si>
  <si>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</si>
  <si>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</si>
  <si>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</si>
  <si>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</si>
  <si>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</si>
  <si>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</si>
  <si>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</si>
  <si>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</si>
  <si>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</si>
  <si>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</si>
  <si>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</si>
  <si>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</si>
  <si>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</si>
  <si>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</si>
  <si>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</si>
  <si>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</si>
  <si>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</si>
  <si>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</si>
  <si>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</si>
  <si>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</si>
  <si>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</si>
  <si>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</si>
  <si>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</si>
  <si>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</si>
  <si>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</si>
  <si>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</si>
  <si>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</si>
  <si>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TBD - pending scope decision and auditor assignment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</si>
  <si>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</si>
  <si>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</si>
  <si>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</si>
  <si>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</si>
  <si>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</si>
  <si>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</si>
  <si>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</si>
  <si>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</si>
  <si>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</si>
  <si>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</si>
  <si>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</si>
  <si>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</si>
  <si>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</si>
  <si>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</si>
  <si>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</si>
  <si>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</si>
  <si>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TBD - after approved pilot and acceptance review</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</si>
  <si>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</si>
  <si>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</si>
  <si>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</si>
  <si>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</si>
  <si>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</si>
  <si>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</si>
  <si>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</si>
  <si>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</si>
  <si>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</si>
  <si>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</si>
  <si>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</si>
  <si>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</si>
  <si>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</si>
  <si>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</si>
  <si>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</si>
  <si>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</si>
  <si>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</si>
  <si>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</si>
  <si>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</si>
  <si>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</si>
  <si>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</si>
  <si>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</si>
  <si>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</si>
  <si>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</si>
  <si>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</si>
  <si>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</si>
  <si>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</si>
  <si>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</si>
  <si>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</si>
  <si>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</si>
  <si>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</si>
  <si>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</si>
  <si>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</si>
  <si>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</si>
  <si>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</si>
  <si>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</si>
  <si>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</si>
  <si>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</si>
  <si>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</si>
  <si>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</si>
  <si>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</si>
  <si>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</si>
  <si>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</si>
  <si>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</si>
  <si>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</si>
  <si>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</si>
  <si>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</si>
  <si>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</si>
  <si>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</si>
  <si>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</si>
  <si>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</si>
  <si>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</si>
  <si>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</si>
  <si>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</si>
  <si>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</si>
  <si>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</si>
  <si>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</si>
  <si>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</si>
  <si>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</si>
  <si>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</si>
  <si>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</si>
  <si>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</si>
  <si>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</si>
  <si>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</si>
  <si>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</si>
  <si>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</si>
  <si>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</si>
  <si>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</si>
  <si>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</si>
  <si>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Completion Date</t>
  </si>
  <si>
    <t>SOC 2 Type I Renewal for UNIS LLC</t>
  </si>
  <si>
    <t>Scoping form outstanding / audit assignment blocked / schedule behind</t>
  </si>
  <si>
    <t>Complete the UNIS LLC SOC 2 Type I audit using the confirmed prior-year scope, validate the current-year cybersecurity and network details, and move the delayed engagement into audit-team assignment.</t>
  </si>
  <si>
    <t>Robert to identify the current cybersecurity/network security owner and send Adam G(CSM - Johanson Group) the owner’s name and email. Adam will send the form directly to that owner. The owner must complete and validate the remaining sections, submit the form, and trigger audit-team assignment. After assignment, add the Johanson Project Lead, backup auditor, and QA reviewer to Vanta; then review the System Description, scope, access, controls, evidence, and revised testing plan.</t>
  </si>
  <si>
    <t>Robert Moreno / Current Cybersecurity and Network Security Owner (TBD) / Stacy Nguyen / Adam Gentner / Johanson Audit Team</t>
  </si>
  <si>
    <t>Mandatory scoping is incomplete; no responsible technical owner is confirmed; the 28-Sep-2026 as-of date has passed; audit-team assignment and Type I testing are delayed. Prior-year materials cannot replace current-year validation.</t>
  </si>
  <si>
    <t>P1 escalation. Name the accountable technical owner immediately, complete the form, and obtain Johanson’s revised assignment and audit schedule. Do not assign sign-off to a person who does not own the technical scope.</t>
  </si>
  <si>
    <t>Adam Gentner Audit Scoping Form email thread, updated 15-Oct-2026 PST.</t>
  </si>
  <si>
    <t>SOC 2 Type II Renewal for ITEM LLC</t>
  </si>
  <si>
    <t>UNIS LLC SOC 2 TSC &amp; System Scope Alignment</t>
  </si>
  <si>
    <t>Prior-year scope confirmed / current-year technical validation pending</t>
  </si>
  <si>
    <t>Maintain one validated UNIS Type I scope across the Audit Scoping Form, System Description, Vanta framework, control matrix, evidence plan, and final report.</t>
  </si>
  <si>
    <t>The CIO/CTO confirmed that the UNIS Type I scope remains the same as last year. Adam confirmed that the current Audit Scoping Form is still required even when scope is unchanged. Prior-year documentation and the System Description are reference inputs only; this year’s system details, contacts, scope confirmations, and cybersecurity/network information must be validated by the responsible current owner.</t>
  </si>
  <si>
    <t>Use the prior report and current System Description as references; have the responsible technical owner validate every current-year response; reconcile the form to Vanta, the control matrix, and evidence; document any changed systems or contacts; and obtain Johanson confirmation that the submitted scope is sufficient for assignment.</t>
  </si>
  <si>
    <t>Robert Moreno / Current Cybersecurity and Network Security Owner (TBD) / Stacy Nguyen / Adam Gentner / Johanson Audit Team / Control Owners</t>
  </si>
  <si>
    <t>An unchanged high-level scope does not eliminate current-year validation. Reusing prior answers without owner verification could misstate systems, contacts, controls, or evidence and delay the audit further.</t>
  </si>
  <si>
    <t>Scope direction is substantially resolved, but management must assign the validating technical owner and require a documented current-year review before submission.</t>
  </si>
  <si>
    <t>Evidence readiness advanced / scoping-owner dependency open</t>
  </si>
  <si>
    <t>Prepare complete, current-year audit evidence that matches the confirmed UNIS Type I scope and supports Johanson’s review after audit-team assignment.</t>
  </si>
  <si>
    <t>The updated System Description and prior-year materials are available as references, but the current Audit Scoping Form remains incomplete. Johanson cannot assign the audit team until the responsible cybersecurity/network owner validates the outstanding technical sections. Evidence work can remain staged, but formal auditor review has not started.</t>
  </si>
  <si>
    <t>Assign the responsible technical owner; complete the scoping form; reconcile current systems, contacts, controls, and evidence in Vanta; grant the assigned Project Lead, backup auditor, and QA reviewer access; then complete Johanson’s scope, control, and evidence review and close any gaps.</t>
  </si>
  <si>
    <t>Current Cybersecurity and Network Security Owner (TBD) / Robert Moreno / Stacy Nguyen / Control Owners / Adam Gentner / Johanson Audit Team / Vanta Administrator</t>
  </si>
  <si>
    <t>Evidence may become stale or misaligned while assignment is blocked. Missing ownership and delayed auditor review can compress remediation time and jeopardize the revised Type I schedule.</t>
  </si>
  <si>
    <t>Maintain evidence collection, but prioritize owner assignment and the scoping form because they are the gating path to formal review.</t>
  </si>
  <si>
    <t>UNIS LLC SOC 2 Type I Readiness, Payment and Auditor Assignment</t>
  </si>
  <si>
    <t>Critical blocker / as-of date passed / owner identification in progress</t>
  </si>
  <si>
    <t>Close the remaining UNIS ownership and scoping gate so Johanson can assign the audit team and rebaseline the delayed Type I engagement.</t>
  </si>
  <si>
    <t>Confirm the accountable technical owner and contact details; have Adam issue the form directly; complete and validate all remaining sections; submit it; obtain written audit-team assignment; add the Project Lead, backup auditor, and QA reviewer in Vanta; and publish a revised milestone plan and Type I schedule.</t>
  </si>
  <si>
    <t>The engagement is behind the planned schedule and cannot enter audit-team assignment. Continued delay may invalidate assumptions tied to the prior as-of date and compress testing, evidence review, remediation, and reporting.</t>
  </si>
  <si>
    <t>Daily P1 tracking until the form is submitted and assignment is confirmed. Rebaseline the as-of date and downstream milestones with Johanson immediately after assignment.</t>
  </si>
  <si>
    <t>The vendor collected UNIS and ITEM equipment on Thursday (10/8); certificates are expected three to four weeks after pickup.</t>
  </si>
  <si>
    <t>Vesync analysis received / pilot and commercial decisions pending</t>
  </si>
  <si>
    <t>Validate eHub carrier savings and ITEM WMS compatibility, then prove commercial, technical, billing, operational, and service performance through controlled customer pilots before broader rollout.</t>
  </si>
  <si>
    <t>The TSP review remains pending reconciliation. A detailed Vesync Carrier Orchestration Report was received on 9-Oct-2026 covering 35,080 shipments from 3-Aug through 18-Sep-2026. Vesync current spend was $300,891.08 versus proposed spend of $253,333.73, producing modeled sample savings of $47,557.35 or 15.8%. The report projects $346,489 annualized savings over 255 business days, with an estimated average SLA change of 0.9 additional days. These are modeled results and no pilot, commercial commitment, implementation date, or go-live approval was recorded.</t>
  </si>
  <si>
    <t>Reconcile the TSP analysis separately. For Vesync, validate accessorials, carrier eligibility, service mappings, geographic coverage, SLA impact, UniUni concentration, claims, declared value, billing, analytics, and ITEM WMS behavior. Define a controlled pilot with baseline, scope, owners, success thresholds, customer acceptance, reporting, rollback, and approval gates.</t>
  </si>
  <si>
    <t>Robert Moreno / Jody Crouse / Lam Xie / Katie Petty / Gene Kwon / Jason Hermansen / Jack Liu / Robert Chung / eHub and ITEM Technical Teams / Customer Operations and Finance</t>
  </si>
  <si>
    <t>Both savings cases are modeled and not yet realized. Vesync introduces a significant proposed UniUni concentration and an estimated 0.9-day average SLA increase. Commercial terms, service eligibility, accessorials, claims, billing, technical readiness, operational acceptance, and pilot performance remain unvalidated.</t>
  </si>
  <si>
    <t>Maintain Amber status. Treat the $346,489 figure as an annualized projection, not committed savings. Protect the confidential report and require documented commercial, technical, operational, financial, and service acceptance before broader rollout.</t>
  </si>
  <si>
    <t>e-Hub 08Oct2026 PST meeting notes; Vesync Carrier Orchestration Report received 9-Oct-2026 PST, based on 35,080 shipments from 3-Aug to 18-Sep-2026.</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</si>
  <si>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</si>
  <si>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</si>
  <si>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</si>
  <si>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</si>
  <si>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</si>
  <si>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</si>
  <si>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</si>
  <si>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</si>
  <si>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</si>
  <si>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</si>
  <si>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In progress</t>
  </si>
  <si>
    <r>
      <t xml:space="preserve">- Barrier integration </t>
    </r>
    <r>
      <rPr>
        <sz val="9"/>
        <color rgb="FF1F1F1F"/>
        <rFont val="Segoe UI Emoji"/>
        <family val="2"/>
      </rPr>
      <t>✅</t>
    </r>
    <r>
      <rPr>
        <sz val="9"/>
        <color rgb="FF1F1F1F"/>
        <rFont val="Carlito"/>
        <charset val="134"/>
      </rPr>
      <t xml:space="preserve"> Completed
- Quadruped robot: 40%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65%</t>
    </r>
    <r>
      <rPr>
        <sz val="9"/>
        <color rgb="FF1F1F1F"/>
        <rFont val="Carlito"/>
        <charset val="134"/>
      </rPr>
      <t xml:space="preserve">
- Shuttle integration: Not started</t>
    </r>
  </si>
  <si>
    <t>Complete the above yard business application scenarios(H8).</t>
    <phoneticPr fontId="25" type="noConversion"/>
  </si>
  <si>
    <t>1. Three zones remain (OTD, VPL, VVPL) — we dont have enough staff on site to coordinate with operations for confirmation.
2. Continuous integration progress with Marco’s quadruped robot development team.
3. Whether the shuttle (yard goat) can be integrated.It needs verified by on site staff.</t>
    <phoneticPr fontId="25" type="noConversion"/>
  </si>
  <si>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</si>
  <si>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</si>
  <si>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</si>
  <si>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</si>
  <si>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</si>
  <si>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</si>
  <si>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</si>
  <si>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</si>
  <si>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</si>
  <si>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</si>
  <si>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</si>
  <si>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</si>
  <si>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</si>
  <si>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</si>
  <si>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</si>
  <si>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</si>
  <si>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</si>
  <si>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Additional rear-area AP installed / map, site confirmation, and testing evidence pending</t>
  </si>
  <si>
    <t>TBD - after map, test schedule, and user/device validation</t>
  </si>
  <si>
    <t>Complete the Alessandro wireless remediation and validate reliable coverage for warehouse operations, operational devices, and planned office occupancy.</t>
  </si>
  <si>
    <t>David reported that an additional AP was installed in the rear area and testing was tentatively planned for 15-16 Oct. Mahan did not have the updated AP map and could not confirm the site, completed AP count, or test results. Second-floor requirements and office workstation count/move date remain open.</t>
  </si>
  <si>
    <t>David to confirm site, final AP count, installation completion, and final map. Mahan to confirm the test schedule, survey all critical zones and devices, validate second-floor needs, and document results and user acceptance. Confirm workstation count and office move date.</t>
  </si>
  <si>
    <t>Missing map and test evidence may conceal coverage gaps; unclear office scope may cause rework or delay occupancy.</t>
  </si>
  <si>
    <t>Keep Amber until the installation record, map, RF/device tests, second-floor scope, and Operations acceptance are complete.</t>
  </si>
  <si>
    <t>IT Network Team Meeting Notes, 16-Oct-2026 PST; IT Infrastructure Update email, 14-Oct-2026 PST.</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</si>
  <si>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</si>
  <si>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</si>
  <si>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</si>
  <si>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</si>
  <si>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</si>
  <si>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</si>
  <si>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</si>
  <si>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</si>
  <si>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</si>
  <si>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</si>
  <si>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</si>
  <si>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</si>
  <si>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</si>
  <si>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</si>
  <si>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</si>
  <si>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</si>
  <si>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</si>
  <si>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</si>
  <si>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</si>
  <si>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</si>
  <si>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</si>
  <si>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Walnut/LAX placement model proposed / inventory, capacity, and migration approval gates remain</t>
  </si>
  <si>
    <t>TBD - after inventory, destination, power, cooling, and LAX capacity decisions</t>
  </si>
  <si>
    <t>Relocate Buena Park infrastructure to approved Walnut and LAX destinations without service loss, unsupported dependencies, or premature facilities work.</t>
  </si>
  <si>
    <t>The working direction is to retain DC/BDC, CCTV where required, and selected GPU or tower systems locally, while moving file, development, application, database, Hyper-V, and associated storage workloads to LAX subject to validation. The inventory lists R&amp;D 10, Accounting 5 cluster servers, David Agustin 8, HR 1, and IT 3 physical servers. Five mini-PC owners remain unidentified. Final placement is not approved because workload purpose, dependencies, rack fit, and destination capacity remain incomplete.</t>
  </si>
  <si>
    <t>Complete the authoritative server inventory and ownership/dependency map; group Hyper-V hosts, VMs, TrueNAS, backup, and storage; identify the five mini-PC owners; resolve CCTV and historical-retention needs; confirm David Agustin workloads; validate Walnut and LAX power, cooling, racks, network, access, and support; present final placement, budget, sequencing, rollback, and outage plan for leadership approval.</t>
  </si>
  <si>
    <t>Stacy Nguyen / Tom Yu / Mahan Sasani / David Rodriguez / Yangyang Yang / Robert Moreno / Server and Application Owners / Network Engineering / Facilities</t>
  </si>
  <si>
    <t>Incomplete workload and dependency data may cause incorrect placement, outage, data-loss, power/cooling shortfall, or repeated moves. LAX capacity and Walnut readiness are not fully verified.</t>
  </si>
  <si>
    <t>Do not schedule server moves until the inventory, destination design, capacity, dependency, backup, and recovery evidence are approved. Maintain one controlled migration plan across Walnut and LAX.</t>
  </si>
  <si>
    <t>BP Relocation Notes, 13-Oct-2026 PST; LAX Data Center Access and Capacity Assessment email thread, latest 16-Oct-2026 PST; IT Infrastructure Update email, 14-Oct-2026 PST.</t>
  </si>
  <si>
    <t>Local Server, Hyper-V &amp; UNISCO.com Infrastructure Handoff</t>
  </si>
  <si>
    <t>Inventory and dependency review expanded / owner decisions and capacity evidence pending</t>
  </si>
  <si>
    <t>TBD - after technical and business-owner review</t>
  </si>
  <si>
    <t>Create an authoritative handoff for physical servers, Hyper-V hosts and VMs, TrueNAS, backups, application ownership, and UNISCO.com infrastructure before relocation or retirement decisions.</t>
  </si>
  <si>
    <t>Yangyang is leading a comprehensive Hyper-V inventory and capacity review with Mahan support. Required data include hosts, VMs, current and peak CPU/memory/storage, placements, growth, critical workloads, offline VMs, and BP migration impact. Offline VM retain/archive/retire decisions and TrueNAS/backup dependencies remain open.</t>
  </si>
  <si>
    <t>Complete host/VM/storage inventory; document peak utilization, owners, purpose, dependencies, retention, backups, recovery, and growth; group each host with its VMs and storage; classify offline VMs; review findings with business owners; approve retain, migrate, rebuild, archive, or retire actions; update the handoff record.</t>
  </si>
  <si>
    <t>Yangyang Yang / Mahan Sasani / Robert Moreno / Server and Application Owners / Infrastructure / Security / Backup Teams</t>
  </si>
  <si>
    <t>Unknown dependencies, offline-VM retention needs, and unverified peak capacity could cause outage, data loss, or under-sized target infrastructure.</t>
  </si>
  <si>
    <t>Require owner-approved disposition and dependency evidence for every server and VM before migration or deletion.</t>
  </si>
  <si>
    <t>IT Network Team Meeting Notes, 16-Oct-2026 PST; BP Relocation Notes, 13-Oct-2026 PST.</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</si>
  <si>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</si>
  <si>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</si>
  <si>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</si>
  <si>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</si>
  <si>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</si>
  <si>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</si>
  <si>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</si>
  <si>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</si>
  <si>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</si>
  <si>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</si>
  <si>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</si>
  <si>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</si>
  <si>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</si>
  <si>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</si>
  <si>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</si>
  <si>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</si>
  <si>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</si>
  <si>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</si>
  <si>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</si>
  <si>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</si>
  <si>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</si>
  <si>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</si>
  <si>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</si>
  <si>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</si>
  <si>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</si>
  <si>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</si>
  <si>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</si>
  <si>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</si>
  <si>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</si>
  <si>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</si>
  <si>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</si>
  <si>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</si>
  <si>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</si>
  <si>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</si>
  <si>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</si>
  <si>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</si>
  <si>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</si>
  <si>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</si>
  <si>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</si>
  <si>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</si>
  <si>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</si>
  <si>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</si>
  <si>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</si>
  <si>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</si>
  <si>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</si>
  <si>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</si>
  <si>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</si>
  <si>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</si>
  <si>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</si>
  <si>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</si>
  <si>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</si>
  <si>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</si>
  <si>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</si>
  <si>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</si>
  <si>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</si>
  <si>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</si>
  <si>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</si>
  <si>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</si>
  <si>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</si>
  <si>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</si>
  <si>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</si>
  <si>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</si>
  <si>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</si>
  <si>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</si>
  <si>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</si>
  <si>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</si>
  <si>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</si>
  <si>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</si>
  <si>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</si>
  <si>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</si>
  <si>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</si>
  <si>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</si>
  <si>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</si>
  <si>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Site assessment and expansion/pricing validation pending / one rack reported available</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</si>
  <si>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</si>
  <si>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</si>
  <si>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</si>
  <si>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</si>
  <si>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</si>
  <si>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</si>
  <si>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</si>
  <si>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</si>
  <si>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</si>
  <si>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</si>
  <si>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</si>
  <si>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</si>
  <si>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</si>
  <si>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</si>
  <si>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</si>
  <si>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</si>
  <si>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Late-16-Oct target / site reference and completion evidence pending</t>
  </si>
  <si>
    <t>TBD - confirm late-Friday 16-Oct target outcome</t>
  </si>
  <si>
    <t>Complete the infrastructure decommission while protecting any remaining client dependency and closing assets, circuits, and billing.</t>
  </si>
  <si>
    <t>The 14-Oct email targeted decommissioning for late Friday 16-Oct and requested confirmation of the site reference and completion. The earlier portfolio record noted one client onsite. No completion evidence, remaining dependency list, asset recovery, carrier return, or billing closure was supplied.</t>
  </si>
  <si>
    <t>Confirm the correct site reference and actual 16-Oct outcome; verify client exit/dependencies; inventory and recover network, server, camera, access, and power assets; disconnect/return carrier equipment; update records; validate final billing and Operations acceptance.</t>
  </si>
  <si>
    <t>An incorrect site reference or premature removal may disrupt a remaining client; incomplete asset and billing closure may create loss or recurring cost.</t>
  </si>
  <si>
    <t>Require documented dependency clearance, asset reconciliation, carrier evidence, and final site acceptance.</t>
  </si>
  <si>
    <t>IT Infrastructure Update email, 14-Oct-2026 PST; existing portfolio record.</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</si>
  <si>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</si>
  <si>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</si>
  <si>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</si>
  <si>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</si>
  <si>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</si>
  <si>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</si>
  <si>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</si>
  <si>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</si>
  <si>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</si>
  <si>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</si>
  <si>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Stimson Supermicro Server, DNS &amp; VPN Health Validation</t>
  </si>
  <si>
    <t>Server restored / hardware, VM, backup, replication, VPN, and certificate validation pending</t>
  </si>
  <si>
    <t>2026-10-14</t>
  </si>
  <si>
    <t>TBD - after joint technical validation and workload-move recommendation</t>
  </si>
  <si>
    <t>Validate the restored Stimson server and dependent DNS, domain-controller, VPN, storage, and application services; determine whether critical workloads must move.</t>
  </si>
  <si>
    <t>The Supermicro server is back online and Riverside users checked by Armin could access applications. Hardware condition remains unknown; BIOS evidence and onsite findings were not shared. Temporary VPN accounts were created during the incident. VM health, hardware/storage logs, backups, domain-controller replication, VPN authentication, and Hikvision certificate errors remain unvalidated.</t>
  </si>
  <si>
    <t>Mahan to share BIOS errors and onsite findings. Mahan, Billy, and Jerimar to work with Yangyang on VM health, hardware/storage logs, backup recovery, DC replication, VPN authentication, temporary-account disposition, and workload-move recommendation. Follow up with China engineering on Hikvision certificate errors and service impact.</t>
  </si>
  <si>
    <t>Mahan Sasani / Yangyang Yang / Billy Rivas / Jerimar Castaneda / Armin Guevarra / China Engineering / Robert Moreno</t>
  </si>
  <si>
    <t>A restored service may fail again if underlying hardware, storage, replication, backup, VPN, or certificate issues persist. Temporary accounts may remain unmanaged.</t>
  </si>
  <si>
    <t>Maintain Red until the root cause and hardware condition are understood, identity and recovery controls are validated, and critical workloads have an approved hosting plan.</t>
  </si>
  <si>
    <t>IT Infrastructure Update email, 14-Oct-2026 PST; IT Network Team Meeting Notes, 16-Oct-2026 PST.</t>
  </si>
  <si>
    <t>Technical pattern tested / ownership, approval, lifecycle, and isolation validation pending</t>
  </si>
  <si>
    <t>TBD - after governance approval and controlled validation</t>
  </si>
  <si>
    <t>Provide tenant Wi-Fi using unique PPSKs and VLAN isolation with accountable approval, credential lifecycle, access control, and evidence-based testing.</t>
  </si>
  <si>
    <t>The shared SSID CW tenants is designed to use one unique PPSK per tenant mapped to a VLAN. Cross-VLAN isolation is intended, while same-VLAN devices can communicate. The approach was previously tested. QBerg/Qbert was believed to handle passwords; Jerimar can create them using 1Password and UniFi. The configuration standard exists but was not attached to the meeting record.</t>
  </si>
  <si>
    <t>Jerimar to share the configuration standard. Assign the service owner and approver; define who creates, distributes, stores, rotates, revokes, and audits keys; verify tenant-to-VLAN mapping, firewall policy, cross-tenant isolation, same-tenant behavior, logging, onboarding/offboarding, and support. Conduct a controlled validation and retain results.</t>
  </si>
  <si>
    <t>Unclear key ownership or unverified isolation can cause unauthorized tenant access, credential leakage, inconsistent offboarding, and audit gaps.</t>
  </si>
  <si>
    <t>Approve the governance model and complete current isolation testing before additional tenant onboarding.</t>
  </si>
  <si>
    <t>IT Network Team Meeting Notes, 16-Oct-2026 PST.</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</si>
  <si>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</si>
  <si>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</si>
  <si>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</si>
  <si>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</si>
  <si>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</si>
  <si>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</si>
  <si>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</si>
  <si>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</si>
  <si>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</si>
  <si>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</si>
  <si>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</si>
  <si>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</si>
  <si>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</si>
  <si>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</si>
  <si>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</si>
  <si>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</si>
  <si>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</si>
  <si>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</si>
  <si>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</si>
  <si>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</si>
  <si>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</si>
  <si>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</si>
  <si>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</si>
  <si>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</si>
  <si>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</si>
  <si>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</si>
  <si>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</si>
  <si>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</si>
  <si>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</si>
  <si>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Completed / controlled exceptions monitored</t>
  </si>
  <si>
    <t>Internal-only transport controls remain active. The PH/UT review confirmed 121 migrated accounts: 116 active and five blocked. Only five accounts remain permitted for external inbound and outbound email.</t>
  </si>
  <si>
    <t>Maintain the approved exception list, review the five external-enabled accounts, and include every change in operational governance.</t>
  </si>
  <si>
    <t>An unauthorized policy change could reopen external mail flow, while an incorrect restriction could block approved customer or system communication.</t>
  </si>
  <si>
    <t>No escalation required. Retain evidence for the 116 active, five blocked, and five external-enabled accounts and monitor exceptions.</t>
  </si>
  <si>
    <t>UT Support Team Individual Emails thread, updated 17-Oct-2026 PST: 121 migrated, 116 active, five blocked, and five permitted for external mail.</t>
  </si>
  <si>
    <t>Completed / ongoing governance</t>
  </si>
  <si>
    <t>Approved customer and partner domains remain supported. Five accounts are authorized for external inbound and outbound mail; six UT users were removed from the external-mail group on 16-Oct-2026 after Operations confirmed group-mail access.</t>
  </si>
  <si>
    <t>Reconcile the five authorized accounts to named business owners, validate group-mail routing, and use documented approval for future additions or removals.</t>
  </si>
  <si>
    <t>Unapproved external access could bypass ticketing; an incomplete allowlist or premature removal could interrupt customer, partner, OTP, or system traffic.</t>
  </si>
  <si>
    <t>Review the five external-enabled accounts and retain the 16-Oct removal evidence for the six UT users.</t>
  </si>
  <si>
    <t>UT Support Team Individual Emails thread, 15-17 Oct-2026 PST; six UT users removed from external access and five accounts remain externally enabled.</t>
  </si>
  <si>
    <t>Operational use confirmed / governance pending</t>
  </si>
  <si>
    <t>UT Operations confirmed the listed agents already have group-mail access. Six users were removed from external inbound and outbound access on 16-Oct-2026. Customer communications are being redirected to facility group addresses so requests create tickets and remain visible.</t>
  </si>
  <si>
    <t>Confirm all required group addresses, queue ownership, routing, replies, attachments, and urgent-request fallback; reconcile the eight names raised by Operations with the six accounts removed; then obtain operational acceptance.</t>
  </si>
  <si>
    <t>Lex Yang / Robin Zhu / Mary Smothers / Ismael Robles / Michelle Topete / Yangyang Yang / Robert Moreno</t>
  </si>
  <si>
    <t>A missing group address, incomplete roster, or untested routing path could cause missed customer communications or bypass ticket creation.</t>
  </si>
  <si>
    <t>Require evidence that every affected agent has the correct group mailbox and that the eight-name request is fully reconciled before closure.</t>
  </si>
  <si>
    <t>UT Support Team Individual Emails thread, 15-17 Oct-2026 PST; group access confirmed and six users removed from external mail.</t>
  </si>
  <si>
    <t>121 migrated / two client reconfigurations pending</t>
  </si>
  <si>
    <t>TBD - after two-user validation</t>
  </si>
  <si>
    <t>Confirm the PH/UT migration population and ensure every migrated user operates through the correct UNIS.CO identity without disrupting approved services.</t>
  </si>
  <si>
    <t>The PH/UT migration check is complete for 121 accounts: 116 are active and five are blocked. Cheenee Lim and Ralph Rana were not migrated initially and are now included in the batch; their email clients still require reconfiguration.</t>
  </si>
  <si>
    <t>Billy Rivas to help Cheenee Lim and Ralph Rana reconfigure their email clients; validate send/receive behavior and aliases; document acceptance and retain the five blocked accounts as controlled records.</t>
  </si>
  <si>
    <t>Yangyang Yang / Billy Rivas / HelpDesk / Robert Moreno</t>
  </si>
  <si>
    <t>The two newly migrated users may be unable to send or receive correctly until client reconfiguration is complete. Blocked-account status must remain intentional and documented.</t>
  </si>
  <si>
    <t>Track the two client reconfigurations to verified closure. Reconcile active, blocked, and external-enabled account lists.</t>
  </si>
  <si>
    <t>UT Support Team Individual Emails thread, updated 17-Oct-2026 PST: 121 migrated; 116 active; five blocked; Cheenee Lim and Ralph Rana require client reconfiguration.</t>
  </si>
  <si>
    <t>Phase I rollout in progress / sign-off pending</t>
  </si>
  <si>
    <t>PH/UT migration controls are operational: 121 accounts were migrated, six UT users were removed from external mail after group access was confirmed, and customer communications are being redirected to group addresses. Broader Phase II scope now includes CN members.</t>
  </si>
  <si>
    <t>Close the two client reconfigurations; approve the US, PH, and CN population; reconcile group-mail and external-access exceptions; publish the channel guide; and obtain named Operations and Customer Service acceptance.</t>
  </si>
  <si>
    <t>Robert Moreno / Stacy Nguyen / Tom Yu / Lex Yang / Yangyang Yang / Mary Smothers / Billy Rivas / Business Owners / IT</t>
  </si>
  <si>
    <t>Closing before regional scope, identity rules, shared-mail ownership, client readiness, and customer-transition evidence are complete could create hidden communication gaps.</t>
  </si>
  <si>
    <t>Treat technical migration, customer-transition readiness, and business acceptance as separate gates. Require explicit sign-off or documented exceptions.</t>
  </si>
  <si>
    <t>Phase II Account Migration and UT Support Team email threads, updated through 17-Oct-2026 PST.</t>
  </si>
  <si>
    <t>Two client reconfigurations pending</t>
  </si>
  <si>
    <t>TBD - after two-user acceptance</t>
  </si>
  <si>
    <t>The migration check confirms 121 accounts in the completed batch: 116 active and five blocked. Cheenee Lim and Ralph Rana were added after the initial migration and now require local email-client reconfiguration.</t>
  </si>
  <si>
    <t>Reconfigure the two affected clients; verify sending, receiving, calendars, mobile access, aliases, and dependent services; record HelpDesk completion and user acceptance.</t>
  </si>
  <si>
    <t>Yangyang Yang / Billy Rivas / HelpDesk / Cheenee Lim / Ralph Rana</t>
  </si>
  <si>
    <t>Incomplete client reconfiguration may cause incorrect sender presentation, failed access, duplicate support cases, or confusion over the authoritative address.</t>
  </si>
  <si>
    <t>Track both users to verified closure and retain legacy aliases unless a separately approved change removes them.</t>
  </si>
  <si>
    <t>UT Support Team Individual Emails thread, updated 17-Oct-2026 PST; two newly migrated users require client reconfiguration.</t>
  </si>
  <si>
    <t>Phase II Regional Email Migration and Ticketing Enforcement</t>
  </si>
  <si>
    <t>PH/UT verified / US-PH-CN rollout in progress</t>
  </si>
  <si>
    <t>TBD - after regional validation</t>
  </si>
  <si>
    <t>Complete Phase II across US, PH, and CN while separating internal identity, customer-facing ticketing, shared-mailbox routing, and approved external-mail exceptions.</t>
  </si>
  <si>
    <t>Tom confirmed CN members are in scope. Existing UNISCO users are to migrate to UNIS.CO; Item-only users may retain Item accounts and join UNIS.CO groups. ITEM internal communication will use itemonline.co. PH/UT verification shows 121 migrated accounts, and UT agents are moving customer traffic to group addresses.</t>
  </si>
  <si>
    <t>Finalize the US, PH, and CN roster; inventory distribution groups and members; identify system logins tied to legacy addresses; configure shared mailboxes and ticket integration; close two client reconfigurations; and validate five external-mail exceptions.</t>
  </si>
  <si>
    <t>Tom Yu / Stacy Nguyen / Lex Yang / Yangyang Yang / Veronica Serra / Billy Rivas / Robert Moreno / Regional IT</t>
  </si>
  <si>
    <t>Disabling legacy accounts before system-login review could interrupt critical access. Incomplete group and exception inventories could block legitimate traffic or bypass ticketing.</t>
  </si>
  <si>
    <t>Approve the regional roster, identity rules, system-login exceptions, group ownership, and validation evidence before final deactivation or production closure.</t>
  </si>
  <si>
    <t>Phase II Account Migration thread, 1-16 Oct-2026 PST; UT Support Team Individual Emails thread, updated 17-Oct-2026 PST.</t>
  </si>
  <si>
    <t>AGV and project materials packed for Memphis / shipment, connectivity assessment, and four-week deployment pending</t>
  </si>
  <si>
    <t>TBD - approximately four weeks after confirmed Memphis receipt and onsite start</t>
  </si>
  <si>
    <t>Deploy the barcode-camera AGV solution in Memphis, validate software and localization, complete mechanical modifications, and establish reliable network and internet service for production operation.</t>
  </si>
  <si>
    <t>Abhijeet packed the AGV and required project materials on a pallet for shipment to 4550 Quality Dr. #101, Memphis. David is coordinating UT trailer transport, including lithium-ion battery requirements; estimated transit is three to five days after departure. Abhijeet will align travel after departure and arrival are confirmed. Separate testing is required to determine whether internet congestion, Wi-Fi coverage, or roaming is affecting AGV performance. Lenovo renewal remains pending, so carrier bandwidth, price, term, and short-term alternatives must be reviewed.</t>
  </si>
  <si>
    <t>Confirm departure, tracking, Memphis delivery date, and onsite receipt. Confirm Abhijeet travel and the week-of-26-Oct support resource replacing Ramon. Mo to provide affected aisles and slowdown times. Mahan, Jerimar, and Abhijeet to test internet utilization, Wi-Fi coverage, roaming, and AGV behavior during peak operations. Jane and the carrier contact to document current bandwidth, price, contract term, and lower-cost or short-term alternatives. After receipt, execute the supplier-software, localization, mapping, mechanical, barcode-camera, network, and full-system test gates.</t>
  </si>
  <si>
    <t>Abhijeet Rathi / David Rodriguez / Miguel OchoaBello / Mahan Sasani / Jerimar Castaneda / Mo Belleza / Jane Sanchez / Memphis Operations / Network Team / Carrier-ISP Contact / Neil Zhou</t>
  </si>
  <si>
    <t>Memphis execution cannot begin until the pallet is shipped and received. Lithium-battery transport requirements, onsite support availability, travel dates, and delivery ETA remain unconfirmed. AGV slowdown may involve internet congestion, Wi-Fi coverage, roaming, or system factors. A long ISP commitment may conflict with the unsigned Lenovo renewal.</t>
  </si>
  <si>
    <t>Keep Amber until shipment and receipt are confirmed, the support schedule is staffed, and Week 1 technical gates begin. Require evidence-based network testing before purchasing additional connectivity. Favor a one-year or shorter ISP term while Lenovo renewal remains unsigned, subject to cost and service requirements.</t>
  </si>
  <si>
    <t>Memphis AGV Connectivity and Internet Options email, 15-Oct-2026 PST; Logistics Coordination Request ITS-25644 email thread, latest update 14-Oct-2026 PST; AGV Alessandro &amp; Memphis schedule previously recorded.</t>
  </si>
  <si>
    <t>Recurring errors and negative ROI confirmed / further repairs not recommended; decommissioning approval pending</t>
  </si>
  <si>
    <t>TBD - after management approval, safe decommissioning, relocation, and commercial closeout</t>
  </si>
  <si>
    <t>End the unsuccessful production trial safely, preserve records and reusable assets, resolve vendor and cost matters, and release the operating space without creating safety or support risk.</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</si>
  <si>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XYZ advised that it will pause and remove the system and recommended no further repairs. Operations requested that the robot be moved to a corner so the space can be reclaimed.</t>
  </si>
  <si>
    <t>Obtain management approval to decommission and relocate the robot. Confirm XYZ removal responsibilities, commercial terms, cost reduction or credit discussion, data and configuration retention, safe shutdown, isolation, inventory, movement method, storage location, ownership, and disposal or reuse decision. Document final ROI, lessons learned, and Operations handback acceptance.</t>
  </si>
  <si>
    <t>Anuj Jagetia / Tom Yu / Brant Ji / Neil Zhou / Abhijeet Rathi / XYZ Robotics / Heacock Operations / Facilities / Finance / Robert Moreno</t>
  </si>
  <si>
    <t>Recurring technical failures and negative economics make further production use and repair spending unjustified. Moving unanchored robotic equipment without an approved shutdown and handling plan may create safety, asset, or liability risk. Vendor removal and financial obligations remain unclear.</t>
  </si>
  <si>
    <t>Red until management approves the disposition and XYZ confirms removal and commercial responsibilities. Stop further repair spending unless leadership approves a documented exception. Require safe isolation and relocation controls before Operations reclaims the area.</t>
  </si>
  <si>
    <t>Update Regarding XYZ Robot email thread, latest update after 8-Oct-2026 container test; September ROI: 13 containers, $7,220 estimated cost, $5,915 billing, $1,305 loss, versus approximately $2,015 manual profit.</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</si>
  <si>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</si>
  <si>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</si>
  <si>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</si>
  <si>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</si>
  <si>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</si>
  <si>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</si>
  <si>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</si>
  <si>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</si>
  <si>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</si>
  <si>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</si>
  <si>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</si>
  <si>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</si>
  <si>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</si>
  <si>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</si>
  <si>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</si>
  <si>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</si>
  <si>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</si>
  <si>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</si>
  <si>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</si>
  <si>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</si>
  <si>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</si>
  <si>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</si>
  <si>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</si>
  <si>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</si>
  <si>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</si>
  <si>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</si>
  <si>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</si>
  <si>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</si>
  <si>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</si>
  <si>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</si>
  <si>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</si>
  <si>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</si>
  <si>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</si>
  <si>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Tenant Wi-Fi and VLAN Governance</t>
  </si>
  <si>
    <t>Jerimar Castaneda / Cubework IT Installation Team / Network Engineering / Security / Tenant Operations / Robert Moreno</t>
  </si>
  <si>
    <t>Robert Moreno / Stacy Nguyen / Tom Yu / David Rodriguez / Mike Wang's replacement pending / Yangyang Yang / Network Support / Infrastructure and Security Teams / QTS</t>
  </si>
  <si>
    <t>Mike Wang's replacement pending / Robert Moreno / Tom Yu / Stacy Nguyen / David Rodriguez / Yangyang Yang / Network Support / Application Owners / Infrastructure, Security, Backup, and QTS Teams</t>
  </si>
  <si>
    <t>Mike Wang's replacement pending, Robert, Network Team</t>
  </si>
  <si>
    <t>Robert Moreno / Mike Wang's replacement pending / Chi wei / Jerimar / Peng Gao / Mel Gutierrez</t>
  </si>
  <si>
    <t>Jerimar Castaneda / Network Engineering / Mike Wang's replacement pending</t>
  </si>
  <si>
    <t>Mike Wang's replacement pending / Yangyang Yang / Email and Infrastructure Owners / Security Team / Robert Moreno</t>
  </si>
  <si>
    <t>Mike Wang's replacement pending / Server Owner (TBD) / Infrastructure Team / Security Team / Yangyang Yang / Robert Moreno</t>
  </si>
  <si>
    <t>Robert Moreno / Billy Rivas / Lex Yang / Mike Wang's replacement pending / Yangyang Yang / Mel Gutierrez / Mary / Patrick / Gemar / Customer Support Operations / Help Desk / 3CX and Telephony Owner</t>
  </si>
  <si>
    <t>Yangyang Yang / Billy Rivas / Lex Yang / Jin / Gemar / Mike Wang's replacement pending / Armin / Cris / PH-HR / Customer Support Operations</t>
  </si>
  <si>
    <t>Mike Wang's replacement pending, Robert,  Johanson Group, Vanta Team</t>
  </si>
  <si>
    <t>The Type I as-of date was 28-Sep-2026 and has passed. Adam Gentner confirmed the engagement cannot move to audit-team assignment because the current Audit Scoping Form is still outstanding. The form is a new, mandatory current-year process; prior-year documents and the System Description may be used only as references. Mike Wang's replacement pending left before completing the technical sections, and Vincent confirmed he is not the appropriate technical owner to validate or sign them.</t>
  </si>
  <si>
    <t>Robert Moreno / Stacy Nguyen / Adam Gentner / Johanson Audit and Accounting Teams / Mike Wang's replacement pending / Legal / Vanta Administrator</t>
  </si>
  <si>
    <t>The updated System Description is on file and payment was previously recorded complete. The sole assignment gate is the mandatory current Audit Scoping Form. The original 28-Sep-2026 as-of date has passed. Mike Wang's replacement pending left before completing the cybersecurity/network sections; Vincent stated he is not the appropriate technical owner. Robert is coordinating identification of the correct owner. Adam will send the form directly once the owner’s name and email are provided.</t>
  </si>
  <si>
    <t>Vincent / Robert Moreno / Mike Wang's replacement pending / Johanson Group</t>
  </si>
  <si>
    <t>James Tran / Robert Moreno / Stacy Nguyen / Adam Gentner / Johanson Audit Team / Mike Wang's replacement pending / Vanta Administrator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</si>
</sst>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0">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sz val="11"/>
      <color rgb="FF3F3F76"/>
      <name val="Calibri"/>
      <family val="2"/>
      <scheme val="minor"/>
    </font>
    <font>
      <b/>
      <sz val="11"/>
      <color rgb="FF9C0006"/>
      <name val="Aptos"/>
    </font>
    <font>
      <b/>
      <sz val="11"/>
      <color rgb="FF9C6500"/>
      <name val="Aptos"/>
    </font>
    <font>
      <b/>
      <sz val="10"/>
      <color rgb="FF006100"/>
      <name val="Arial"/>
    </font>
    <font>
      <b/>
      <sz val="10"/>
      <color rgb="FF9C0006"/>
      <name val="Arial"/>
    </font>
  </fonts>
  <fills count="20">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FFC7CE"/>
      </patternFill>
    </fill>
    <fill>
      <patternFill patternType="solid">
        <fgColor theme="4" tint="0.79998168889431442"/>
        <bgColor theme="4" tint="0.79998168889431442"/>
      </patternFill>
    </fill>
    <fill>
      <patternFill patternType="solid">
        <fgColor rgb="FFFCE8E6"/>
      </patternFill>
    </fill>
    <fill>
      <patternFill patternType="solid">
        <fgColor rgb="FFD9E5F3"/>
      </patternFill>
    </fill>
    <fill>
      <patternFill patternType="solid">
        <fgColor rgb="FFFFFFFF"/>
      </patternFill>
    </fill>
  </fills>
  <borders count="12">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9" fontId="3" fillId="0" borderId="0" applyFont="0" applyFill="0" applyBorder="0" applyAlignment="0" applyProtection="0"/>
  </cellStyleXfs>
  <cellXfs count="137">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3" borderId="4" xfId="0" applyFont="1" applyFill="1" applyBorder="1" applyAlignment="1">
      <alignment vertical="center" wrapText="1"/>
    </xf>
    <xf numFmtId="0" fontId="6"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2" fillId="0" borderId="4" xfId="0" applyFont="1" applyBorder="1" applyAlignment="1">
      <alignment horizontal="left" vertical="top"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11" fillId="0" borderId="0" xfId="0" applyFont="1"/>
    <xf numFmtId="0" fontId="12" fillId="0" borderId="0" xfId="1" applyFont="1" applyAlignment="1">
      <alignment horizontal="center" vertical="top" wrapText="1"/>
    </xf>
    <xf numFmtId="0" fontId="12" fillId="0" borderId="0" xfId="1" applyFont="1" applyAlignment="1">
      <alignment vertical="top"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7" borderId="4" xfId="0" applyFont="1" applyFill="1" applyBorder="1" applyAlignment="1">
      <alignment horizontal="center" vertical="top" wrapText="1"/>
    </xf>
    <xf numFmtId="0" fontId="6" fillId="7" borderId="4" xfId="0" applyFont="1" applyFill="1" applyBorder="1" applyAlignment="1">
      <alignment horizontal="left" vertical="top" wrapText="1"/>
    </xf>
    <xf numFmtId="164" fontId="0" fillId="0" borderId="4" xfId="0" applyNumberFormat="1" applyBorder="1"/>
    <xf numFmtId="0" fontId="0" fillId="7" borderId="4" xfId="0" applyFill="1" applyBorder="1" applyAlignment="1">
      <alignment horizontal="center" vertical="top" wrapText="1"/>
    </xf>
    <xf numFmtId="0" fontId="0" fillId="6" borderId="4" xfId="0" applyFill="1" applyBorder="1" applyAlignment="1">
      <alignment horizontal="center" vertical="top" wrapText="1"/>
    </xf>
    <xf numFmtId="0" fontId="0" fillId="0" borderId="4" xfId="0"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5" fillId="7"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7" fillId="8" borderId="0" xfId="0" applyFont="1" applyFill="1" applyAlignment="1">
      <alignment vertical="center"/>
    </xf>
    <xf numFmtId="0" fontId="18" fillId="9" borderId="0" xfId="0" applyFont="1" applyFill="1" applyAlignment="1">
      <alignment vertical="center" wrapText="1"/>
    </xf>
    <xf numFmtId="0" fontId="19" fillId="10" borderId="6"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8" xfId="0" applyFont="1" applyFill="1" applyBorder="1" applyAlignment="1">
      <alignment horizontal="center" vertical="center" wrapText="1"/>
    </xf>
    <xf numFmtId="0" fontId="19" fillId="10" borderId="9" xfId="0" applyFont="1" applyFill="1" applyBorder="1" applyAlignment="1">
      <alignment horizontal="center" vertical="center" wrapText="1"/>
    </xf>
    <xf numFmtId="0" fontId="19" fillId="10" borderId="0" xfId="0" applyFont="1" applyFill="1" applyAlignment="1">
      <alignment vertical="center" wrapText="1"/>
    </xf>
    <xf numFmtId="0" fontId="20" fillId="11" borderId="4" xfId="0" applyFont="1" applyFill="1" applyBorder="1" applyAlignment="1">
      <alignment vertical="top" wrapText="1"/>
    </xf>
    <xf numFmtId="0" fontId="21" fillId="12" borderId="4" xfId="0" applyFont="1" applyFill="1" applyBorder="1" applyAlignment="1">
      <alignment horizontal="center" vertical="top" wrapText="1"/>
    </xf>
    <xf numFmtId="164" fontId="20" fillId="11" borderId="4" xfId="0" applyNumberFormat="1" applyFont="1" applyFill="1" applyBorder="1" applyAlignment="1">
      <alignment vertical="top" wrapText="1"/>
    </xf>
    <xf numFmtId="9" fontId="20" fillId="11" borderId="4" xfId="0" applyNumberFormat="1" applyFont="1" applyFill="1" applyBorder="1" applyAlignment="1">
      <alignment vertical="top" wrapText="1"/>
    </xf>
    <xf numFmtId="0" fontId="20" fillId="11" borderId="2" xfId="0" applyFont="1" applyFill="1" applyBorder="1" applyAlignment="1">
      <alignment horizontal="center" vertical="top" wrapText="1"/>
    </xf>
    <xf numFmtId="9" fontId="20" fillId="11" borderId="2" xfId="0" applyNumberFormat="1" applyFont="1" applyFill="1" applyBorder="1" applyAlignment="1">
      <alignment horizontal="center" vertical="top" wrapText="1"/>
    </xf>
    <xf numFmtId="0" fontId="20" fillId="11" borderId="2" xfId="0" applyFont="1" applyFill="1" applyBorder="1" applyAlignment="1">
      <alignment vertical="top" wrapText="1"/>
    </xf>
    <xf numFmtId="0" fontId="20" fillId="0" borderId="4" xfId="0" applyFont="1" applyBorder="1" applyAlignment="1">
      <alignment vertical="top" wrapText="1"/>
    </xf>
    <xf numFmtId="164" fontId="20" fillId="0" borderId="4" xfId="0" applyNumberFormat="1" applyFont="1" applyBorder="1" applyAlignment="1">
      <alignment vertical="top" wrapText="1"/>
    </xf>
    <xf numFmtId="0" fontId="20" fillId="0" borderId="3" xfId="0" applyFont="1" applyBorder="1" applyAlignment="1">
      <alignment horizontal="center" vertical="top" wrapText="1"/>
    </xf>
    <xf numFmtId="9" fontId="20" fillId="0" borderId="3" xfId="0" applyNumberFormat="1" applyFont="1" applyBorder="1" applyAlignment="1">
      <alignment horizontal="center" vertical="top" wrapText="1"/>
    </xf>
    <xf numFmtId="0" fontId="20" fillId="0" borderId="3" xfId="0" applyFont="1" applyBorder="1" applyAlignment="1">
      <alignment vertical="top" wrapText="1"/>
    </xf>
    <xf numFmtId="0" fontId="20" fillId="11" borderId="3" xfId="0" applyFont="1" applyFill="1" applyBorder="1" applyAlignment="1">
      <alignment horizontal="center" vertical="top" wrapText="1"/>
    </xf>
    <xf numFmtId="9" fontId="20" fillId="11" borderId="3" xfId="0" applyNumberFormat="1" applyFont="1" applyFill="1" applyBorder="1" applyAlignment="1">
      <alignment horizontal="center" vertical="top" wrapText="1"/>
    </xf>
    <xf numFmtId="0" fontId="20" fillId="11" borderId="3" xfId="0" applyFont="1" applyFill="1" applyBorder="1" applyAlignment="1">
      <alignment vertical="top" wrapText="1"/>
    </xf>
    <xf numFmtId="0" fontId="20" fillId="11" borderId="3" xfId="0" quotePrefix="1" applyFont="1" applyFill="1" applyBorder="1" applyAlignment="1">
      <alignment horizontal="center" vertical="top" wrapText="1"/>
    </xf>
    <xf numFmtId="0" fontId="10" fillId="2" borderId="1" xfId="1" applyFont="1" applyFill="1" applyBorder="1" applyAlignment="1">
      <alignment horizontal="center" vertical="center" wrapText="1"/>
    </xf>
    <xf numFmtId="0" fontId="4" fillId="13" borderId="10" xfId="0" applyFont="1" applyFill="1" applyBorder="1" applyAlignment="1">
      <alignment horizontal="center" vertical="center" wrapText="1"/>
    </xf>
    <xf numFmtId="9" fontId="12" fillId="0" borderId="0" xfId="1" applyNumberFormat="1" applyFont="1" applyAlignment="1">
      <alignment horizontal="center" vertical="top" wrapText="1"/>
    </xf>
    <xf numFmtId="0" fontId="4"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5" fillId="7"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6" fillId="3" borderId="4" xfId="0" applyNumberFormat="1"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5"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0" fontId="0" fillId="14" borderId="4" xfId="0" applyFill="1" applyBorder="1" applyAlignment="1">
      <alignment vertical="top" wrapText="1"/>
    </xf>
    <xf numFmtId="0" fontId="0" fillId="3" borderId="4" xfId="0" applyFill="1" applyBorder="1" applyAlignment="1">
      <alignment vertical="top" wrapText="1"/>
    </xf>
    <xf numFmtId="0" fontId="26" fillId="17" borderId="4" xfId="0" applyFont="1" applyFill="1" applyBorder="1" applyAlignment="1">
      <alignment horizontal="center" vertical="center" wrapText="1"/>
    </xf>
    <xf numFmtId="0" fontId="26" fillId="15" borderId="4" xfId="0" applyFont="1" applyFill="1" applyBorder="1" applyAlignment="1">
      <alignment horizontal="center" vertical="center" wrapText="1"/>
    </xf>
    <xf numFmtId="9" fontId="2" fillId="0" borderId="4" xfId="0" applyNumberFormat="1" applyFont="1" applyBorder="1" applyAlignment="1">
      <alignment horizontal="center" vertical="center" wrapText="1"/>
    </xf>
    <xf numFmtId="0" fontId="27" fillId="7" borderId="4" xfId="0" applyFont="1" applyFill="1" applyBorder="1" applyAlignment="1">
      <alignment horizontal="center" vertical="center" wrapText="1"/>
    </xf>
    <xf numFmtId="0" fontId="2" fillId="16" borderId="4" xfId="0" applyFont="1" applyFill="1" applyBorder="1" applyAlignment="1">
      <alignment horizontal="center" vertical="top" wrapText="1"/>
    </xf>
    <xf numFmtId="0" fontId="14" fillId="3" borderId="4" xfId="0" applyFont="1" applyFill="1" applyBorder="1" applyAlignment="1">
      <alignment horizontal="left" vertical="top" wrapText="1"/>
    </xf>
    <xf numFmtId="0" fontId="16" fillId="3" borderId="4" xfId="0" applyFont="1" applyFill="1" applyBorder="1" applyAlignment="1">
      <alignment horizontal="left" vertical="center"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165" fontId="13" fillId="3" borderId="4" xfId="0" applyNumberFormat="1" applyFont="1" applyFill="1" applyBorder="1" applyAlignment="1">
      <alignment horizontal="center" vertical="top"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6" fillId="3" borderId="4" xfId="0" applyNumberFormat="1" applyFont="1" applyFill="1" applyBorder="1" applyAlignment="1">
      <alignment horizontal="center" vertical="top" wrapText="1"/>
    </xf>
    <xf numFmtId="0" fontId="16" fillId="3" borderId="4" xfId="0" applyFont="1" applyFill="1" applyBorder="1" applyAlignment="1">
      <alignment horizontal="center" vertical="center" wrapText="1"/>
    </xf>
    <xf numFmtId="0" fontId="4" fillId="14" borderId="4"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28" fillId="14" borderId="4" xfId="0"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0" fillId="0" borderId="4" xfId="0" applyNumberFormat="1" applyBorder="1" applyAlignment="1">
      <alignment horizontal="center" vertical="center"/>
    </xf>
    <xf numFmtId="9" fontId="11" fillId="0" borderId="0" xfId="0" applyNumberFormat="1" applyFont="1"/>
    <xf numFmtId="0" fontId="5" fillId="2" borderId="4" xfId="0" applyFont="1" applyFill="1" applyBorder="1" applyAlignment="1">
      <alignment horizontal="center" vertical="top" wrapText="1"/>
    </xf>
    <xf numFmtId="165" fontId="24" fillId="14" borderId="4" xfId="0" applyNumberFormat="1" applyFont="1" applyFill="1" applyBorder="1" applyAlignment="1">
      <alignment horizontal="center" vertical="top" wrapText="1"/>
    </xf>
    <xf numFmtId="0" fontId="6" fillId="3" borderId="4" xfId="0" applyFont="1" applyFill="1" applyBorder="1" applyAlignment="1">
      <alignment vertical="top" wrapText="1"/>
    </xf>
    <xf numFmtId="0" fontId="13" fillId="3" borderId="4" xfId="0" applyFont="1" applyFill="1" applyBorder="1" applyAlignment="1">
      <alignment horizontal="center" vertical="top" wrapText="1"/>
    </xf>
    <xf numFmtId="0" fontId="28" fillId="14"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8"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9" borderId="0" xfId="0" applyFont="1" applyFill="1" applyAlignment="1">
      <alignment horizontal="left" vertical="top" wrapText="1"/>
    </xf>
    <xf numFmtId="0" fontId="13" fillId="3" borderId="3" xfId="0" applyFont="1" applyFill="1" applyBorder="1" applyAlignment="1">
      <alignment horizontal="center" vertical="center" wrapText="1"/>
    </xf>
    <xf numFmtId="0" fontId="2" fillId="18" borderId="0" xfId="0" applyFont="1" applyFill="1" applyAlignment="1">
      <alignment horizontal="left" vertical="top" wrapText="1"/>
    </xf>
    <xf numFmtId="0" fontId="29" fillId="15" borderId="3" xfId="0" applyFont="1" applyFill="1" applyBorder="1" applyAlignment="1">
      <alignment horizontal="center" vertical="center" wrapText="1"/>
    </xf>
    <xf numFmtId="164" fontId="13" fillId="3" borderId="3" xfId="0" applyNumberFormat="1" applyFont="1" applyFill="1" applyBorder="1" applyAlignment="1">
      <alignment horizontal="center" vertical="center" wrapText="1"/>
    </xf>
    <xf numFmtId="0" fontId="2" fillId="19" borderId="2" xfId="0" applyFont="1" applyFill="1" applyBorder="1" applyAlignment="1">
      <alignment horizontal="left" vertical="top" wrapText="1"/>
    </xf>
    <xf numFmtId="0" fontId="17" fillId="8" borderId="0" xfId="0" applyFont="1" applyFill="1" applyAlignment="1">
      <alignment vertical="center"/>
    </xf>
    <xf numFmtId="0" fontId="18" fillId="9"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3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b/>
        <i val="0"/>
        <strike val="0"/>
        <condense val="0"/>
        <extend val="0"/>
        <outline val="0"/>
        <shadow val="0"/>
        <u val="none"/>
        <vertAlign val="baseline"/>
        <sz val="11"/>
        <color rgb="FF000000"/>
        <name val="Aptos"/>
        <scheme val="none"/>
      </font>
      <fill>
        <patternFill patternType="solid">
          <fgColor rgb="FF000000"/>
          <bgColor rgb="FFC6E0B4"/>
        </patternFill>
      </fill>
      <alignment horizontal="center" vertical="center" textRotation="0" wrapText="1" indent="0" justifyLastLine="0" shrinkToFit="0" readingOrder="0"/>
      <border diagonalUp="0" diagonalDown="0">
        <left/>
        <right/>
        <top style="thin">
          <color rgb="FF95B3D7"/>
        </top>
        <bottom style="thin">
          <color rgb="FFD9E2F3"/>
        </bottom>
        <vertical/>
        <horizontal/>
      </border>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35"/>
    <tableColumn id="2" xr3:uid="{96D6F9DD-6A4C-4A23-8A2B-F5291F35F77B}" name="Project / Workstream" dataDxfId="134"/>
    <tableColumn id="3" xr3:uid="{888D9B81-A395-47DF-80CE-DA1131D1376F}" name="Status" dataDxfId="133"/>
    <tableColumn id="4" xr3:uid="{CD231B59-4E25-4B82-A1EB-E707CA38F7F6}" name="Start Date" dataDxfId="132"/>
    <tableColumn id="5" xr3:uid="{09DB588B-E2A0-4761-85A9-73F0AAB8C56E}" name="Completion Date" dataDxfId="131"/>
    <tableColumn id="6" xr3:uid="{1A4661DA-45C5-46A1-916F-2F7D6E08BB15}" name="% of Completion" dataDxfId="130"/>
    <tableColumn id="7" xr3:uid="{48DEBC38-3245-436F-B70F-5021B1121FE5}" name="Core Objective" dataDxfId="129"/>
    <tableColumn id="8" xr3:uid="{290E8003-D7B1-4D5D-857D-CBB894CC223E}" name="Current Progress" dataDxfId="128"/>
    <tableColumn id="9" xr3:uid="{BCACD256-A4F8-499C-BFD0-C1A9A8DABF38}" name="Key Next Steps" dataDxfId="127"/>
    <tableColumn id="10" xr3:uid="{5A660B4D-1115-4650-BF44-269E14C2F4B6}" name="Owners / Direct Responsible Individual" dataDxfId="126"/>
    <tableColumn id="11" xr3:uid="{8A1FC045-4525-484D-851C-CE33F806003F}" name="Key Risks / Blockers" dataDxfId="125"/>
    <tableColumn id="12" xr3:uid="{FF19E1D6-D997-457B-AED2-186127759682}" name="Management Attention" dataDxfId="124"/>
    <tableColumn id="13" xr3:uid="{7B618D71-AE79-4B84-AB4E-BE24031BD242}" name="Source / Notes" dataDxfId="1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043A57-0A20-4E85-A933-3BB0CB08E4C9}" name="TeamRoadmapTable2" displayName="TeamRoadmapTable2" ref="A1:M19" totalsRowShown="0">
  <autoFilter ref="A1:M19" xr:uid="{3A043A57-0A20-4E85-A933-3BB0CB08E4C9}"/>
  <tableColumns count="13">
    <tableColumn id="1" xr3:uid="{04D2C9D7-4A63-4D43-8460-5BA1E57998E1}" name="#" dataDxfId="122"/>
    <tableColumn id="2" xr3:uid="{DE32A74B-ACED-4731-9D8E-7226F401412D}" name="Project / Workstream" dataDxfId="121"/>
    <tableColumn id="3" xr3:uid="{04149982-9EF5-449F-961A-BF0867C647C1}" name="Status" dataDxfId="120"/>
    <tableColumn id="4" xr3:uid="{A1E93C6D-5D79-4BAD-8158-FC06AB9A0A2A}" name="Start Date" dataDxfId="119"/>
    <tableColumn id="5" xr3:uid="{9D70E4F2-14E3-4514-82F7-82857D4D498F}" name="Completion Date" dataDxfId="118"/>
    <tableColumn id="6" xr3:uid="{DE2824DE-72CA-4C5B-B785-96216DFB725E}" name="% of Completion" dataDxfId="117"/>
    <tableColumn id="7" xr3:uid="{0E7CE61A-FFCE-42EC-9A19-4DC35F7D82EC}" name="Core Objective" dataDxfId="116"/>
    <tableColumn id="8" xr3:uid="{DA97804F-4A67-45F4-8DC4-109A8061E995}" name="Current Progress" dataDxfId="115"/>
    <tableColumn id="9" xr3:uid="{3BA55CC0-9EA7-4EFE-BA4C-A10EF8069CDF}" name="Key Next Steps" dataDxfId="114"/>
    <tableColumn id="10" xr3:uid="{F28926D7-580C-4F13-B486-AF82074B882E}" name="Owners / Direct Responsible Individual " dataDxfId="113"/>
    <tableColumn id="11" xr3:uid="{7F73DD8A-CAFD-4606-9581-BD4E972F5D36}" name="Key Risks / Blockers" dataDxfId="112"/>
    <tableColumn id="12" xr3:uid="{D7F0EE5A-FD00-467C-A756-3F85ED5C0E14}" name="Management Attention" dataDxfId="111"/>
    <tableColumn id="13" xr3:uid="{28C61FA1-267E-4365-9DF4-7313CD4DA5E3}" name="Source / Notes" dataDxfId="1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D12A05-4024-4190-889D-F8FEFB906ADF}" name="_10IoTTable" displayName="_10IoTTable" ref="A3:M7" totalsRowShown="0">
  <autoFilter ref="A3:M7" xr:uid="{43D12A05-4024-4190-889D-F8FEFB906ADF}"/>
  <tableColumns count="13">
    <tableColumn id="1" xr3:uid="{9D1720D2-255E-4948-AEA4-87288BF22E61}" name="#" dataDxfId="109"/>
    <tableColumn id="2" xr3:uid="{4CEBED98-D095-4FF0-AA5D-6905FADEA5E0}" name="Project / Workstream" dataDxfId="108"/>
    <tableColumn id="3" xr3:uid="{E63C1969-65EA-4BA6-88C8-CDFA436DDC12}" name="Status" dataDxfId="107"/>
    <tableColumn id="13" xr3:uid="{5C0468A9-CA1F-4BCC-9EFD-A6FE497EF0EA}" name="RAG Status" dataDxfId="106"/>
    <tableColumn id="4" xr3:uid="{BD2A85DA-AC7D-412B-B2D3-E211E2A201B7}" name="Start Date" dataDxfId="105"/>
    <tableColumn id="5" xr3:uid="{9D1F8663-B522-4F92-B037-83A09E5F1E2C}" name="Completion Date" dataDxfId="104"/>
    <tableColumn id="6" xr3:uid="{9C8B4CFC-45ED-4D95-9EE8-678A45C388A2}" name="% of Completion" dataDxfId="103"/>
    <tableColumn id="7" xr3:uid="{8042D65A-E9A7-440A-8DA3-E859E12CE7CC}" name="Core Objective"/>
    <tableColumn id="8" xr3:uid="{9DE2D962-3BBB-4A29-890B-C8C6BB038444}" name="Current Progress"/>
    <tableColumn id="9" xr3:uid="{684619BD-39A8-4E89-B9A3-C74834F32A8A}" name="Key Next Steps"/>
    <tableColumn id="10" xr3:uid="{24D4025D-F39D-4407-B35F-CD8AEA2E57C3}" name="Owner / Responsible"/>
    <tableColumn id="11" xr3:uid="{73DAAFFC-7E8C-4966-9664-41AA97AE649F}" name="Key Risks / Blockers"/>
    <tableColumn id="12" xr3:uid="{F32A4FCC-971E-4648-9B44-F16791CE3522}"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CFDA90-66A0-4F30-B0FF-7E730E1479EF}" name="TeamRoadmapTable4" displayName="TeamRoadmapTable4" ref="A1:N10" totalsRowShown="0" headerRowDxfId="102" dataDxfId="101" dataCellStyle="常规">
  <autoFilter ref="A1:N10" xr:uid="{1ECFDA90-66A0-4F30-B0FF-7E730E1479EF}"/>
  <tableColumns count="14">
    <tableColumn id="1" xr3:uid="{679CF03B-1214-4CC0-9C0B-50F40DA8A237}" name="#" dataDxfId="100" dataCellStyle="常规"/>
    <tableColumn id="2" xr3:uid="{190D03B6-3A2A-4849-8CD1-3CE10074EEFE}" name="Project / Workstream" dataDxfId="99" dataCellStyle="常规"/>
    <tableColumn id="3" xr3:uid="{DF3A1391-53C9-42A8-9B4E-6E5AC03DE8CA}" name="Status" dataDxfId="98" dataCellStyle="常规"/>
    <tableColumn id="15" xr3:uid="{A8F23B7A-2051-42FE-B1A7-F0B22DA7AEA3}" name="RAG Status" dataDxfId="97" dataCellStyle="常规"/>
    <tableColumn id="4" xr3:uid="{FB882904-D83E-4AF4-94C7-D3D6C40D0A43}" name="Start Date" dataDxfId="96" dataCellStyle="常规"/>
    <tableColumn id="5" xr3:uid="{F4997E23-B6A3-4C2E-A58C-B3F149E07E71}" name="Completion Date" dataDxfId="95" dataCellStyle="常规"/>
    <tableColumn id="6" xr3:uid="{D21D1725-E004-4FA3-87DE-59FAC267E67C}" name="% of Completion" dataDxfId="94" dataCellStyle="常规"/>
    <tableColumn id="7" xr3:uid="{85ECBED0-BAC5-4B91-8509-920E9DA6D49C}" name="Core Objective" dataDxfId="93" dataCellStyle="常规"/>
    <tableColumn id="8" xr3:uid="{1BEF56B1-00D5-4AB9-80BA-54516FCD12F4}" name="Current Progress" dataDxfId="92" dataCellStyle="常规"/>
    <tableColumn id="9" xr3:uid="{217482B5-A245-481C-BB74-5CCA909D64C7}" name="Key Next Steps" dataDxfId="91" dataCellStyle="常规"/>
    <tableColumn id="10" xr3:uid="{99FB2831-B049-41B4-9630-30604A9C16D4}" name="Owners / Direct Responsible Individual" dataDxfId="90" dataCellStyle="常规"/>
    <tableColumn id="11" xr3:uid="{96B9AD91-82DF-4634-9B78-C515E558FCD4}" name="Key Risks / Blockers" dataDxfId="89" dataCellStyle="常规"/>
    <tableColumn id="12" xr3:uid="{37A3351C-8352-4160-8826-AF8B8E6368EF}" name="Management Attention" dataDxfId="88" dataCellStyle="常规"/>
    <tableColumn id="13" xr3:uid="{7B16C62B-B1C1-471B-85DC-88990965CC5E}" name="Source / Notes" dataDxfId="87"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DCF40A6-8609-4402-B88B-94BD7D601DF8}" name="TeamRoadmapTable5" displayName="TeamRoadmapTable5" ref="A1:M8" totalsRowShown="0">
  <autoFilter ref="A1:M8" xr:uid="{DDCF40A6-8609-4402-B88B-94BD7D601DF8}"/>
  <tableColumns count="13">
    <tableColumn id="1" xr3:uid="{992378DB-BAFF-4832-8786-45C23A2A002B}" name="#"/>
    <tableColumn id="2" xr3:uid="{7BD368F3-A454-452B-83F7-722D23FCEA86}" name="Project / Workstream"/>
    <tableColumn id="3" xr3:uid="{6E60630D-B81E-4FCF-8164-216A00173EDD}" name="Status"/>
    <tableColumn id="4" xr3:uid="{D340E936-7DEC-4C33-862B-102826A05039}" name="RAG Status"/>
    <tableColumn id="5" xr3:uid="{9F02826F-ADBE-40D0-973D-D8AC234AE28D}" name="Start Date"/>
    <tableColumn id="6" xr3:uid="{05F300A6-43D2-4726-9309-95D1119A55EA}" name="Completion Date"/>
    <tableColumn id="7" xr3:uid="{CC43EE51-515C-403E-8F43-C2079DAEF0F5}" name="% of Completion"/>
    <tableColumn id="8" xr3:uid="{9EA078C9-2C51-4E1A-B038-4772855D3CE3}" name="Core Objective"/>
    <tableColumn id="9" xr3:uid="{7935071B-3124-4354-A537-77CB74C15AF7}" name="Current Progress"/>
    <tableColumn id="10" xr3:uid="{B1FDCEF1-7E69-46E5-85FD-AD20CF36E917}" name="Key Next Steps"/>
    <tableColumn id="11" xr3:uid="{DEDC49FB-2B9B-4B35-B7AB-983310EE15CD}" name="Owners / Direct Responsible Individual"/>
    <tableColumn id="12" xr3:uid="{1564DE80-CF4F-48D9-9ACC-9BA31D3B9436}" name="Key Risks / Blockers"/>
    <tableColumn id="13" xr3:uid="{AE0CC42C-B033-4172-A4B7-688AAACD81BF}"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29BE91-12F7-41D7-96DC-1435A4A1D6D5}" name="TeamRoadmapTable6" displayName="TeamRoadmapTable6" ref="A1:M12" totalsRowShown="0">
  <autoFilter ref="A1:M12" xr:uid="{AF29BE91-12F7-41D7-96DC-1435A4A1D6D5}"/>
  <tableColumns count="13">
    <tableColumn id="1" xr3:uid="{D30BF4EC-955A-42A8-82DD-DFC1FA0E5E7D}" name="#" dataDxfId="86"/>
    <tableColumn id="2" xr3:uid="{ED6809AB-855C-4EA2-9397-856F2BE4DAB5}" name="Project / Workstream" dataDxfId="85"/>
    <tableColumn id="3" xr3:uid="{DEA9FC0A-0DA4-4864-B04F-5557D7CD8EE4}" name="Status" dataDxfId="84"/>
    <tableColumn id="4" xr3:uid="{A47988CA-1547-453E-9F7C-2F040DF7A266}" name="Start Date" dataDxfId="83"/>
    <tableColumn id="5" xr3:uid="{B2CE9BA8-8D83-4808-B5B6-1245DF87E76F}" name="Completion Date" dataDxfId="82"/>
    <tableColumn id="6" xr3:uid="{7BA0FCD7-0715-4EFA-A1C9-7506AB98CF57}" name="% of Completion" dataDxfId="81"/>
    <tableColumn id="7" xr3:uid="{7E29D23E-18DB-4895-8105-E582525A76DA}" name="Core Objective" dataDxfId="80"/>
    <tableColumn id="8" xr3:uid="{B408C4DA-6CB0-428A-9D08-DD16AA355A61}" name="Current Progress" dataDxfId="79"/>
    <tableColumn id="9" xr3:uid="{1DC2176A-256A-4A96-AD50-0B1E8B37A4A9}" name="Key Next Steps" dataDxfId="78"/>
    <tableColumn id="10" xr3:uid="{06D17CEA-01D9-4ADD-B928-3449CB6F0519}" name="Owners / Direct Responsible Individual" dataDxfId="77"/>
    <tableColumn id="11" xr3:uid="{AE5FD19A-866E-4462-85AB-0ED794227DC3}" name="Key Risks / Blockers" dataDxfId="76"/>
    <tableColumn id="12" xr3:uid="{1ABD2D3B-AF76-4375-A3B2-7171D61620F4}" name="Management Attention" dataDxfId="75"/>
    <tableColumn id="13" xr3:uid="{31BE1D2A-1D54-46BB-BD45-935CBF81148E}" name="Source / Notes" dataDxfId="7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160" customHeight="1">
      <c r="A2" s="50">
        <v>1</v>
      </c>
      <c r="B2" s="51" t="s">
        <v>634</v>
      </c>
      <c r="C2" s="52" t="s">
        <v>635</v>
      </c>
      <c r="D2" s="113" t="s">
        <v>13</v>
      </c>
      <c r="E2" s="53">
        <v>46286</v>
      </c>
      <c r="F2" s="54" t="s">
        <v>636</v>
      </c>
      <c r="G2" s="55">
        <v>0.6</v>
      </c>
      <c r="H2" s="51" t="s">
        <v>637</v>
      </c>
      <c r="I2" s="51" t="s">
        <v>638</v>
      </c>
      <c r="J2" s="51" t="s">
        <v>639</v>
      </c>
      <c r="K2" s="51" t="s">
        <v>1140</v>
      </c>
      <c r="L2" s="51" t="s">
        <v>640</v>
      </c>
      <c r="M2" s="51" t="s">
        <v>641</v>
      </c>
      <c r="N2" s="56" t="s">
        <v>1141</v>
      </c>
    </row>
    <row r="3" spans="1:14" ht="160" customHeight="1">
      <c r="A3" s="50">
        <v>2</v>
      </c>
      <c r="B3" s="51" t="s">
        <v>16</v>
      </c>
      <c r="C3" s="52" t="s">
        <v>642</v>
      </c>
      <c r="D3" s="113" t="s">
        <v>13</v>
      </c>
      <c r="E3" s="53">
        <v>46286</v>
      </c>
      <c r="F3" s="54" t="s">
        <v>643</v>
      </c>
      <c r="G3" s="55">
        <v>0.85</v>
      </c>
      <c r="H3" s="51" t="s">
        <v>644</v>
      </c>
      <c r="I3" s="51" t="s">
        <v>645</v>
      </c>
      <c r="J3" s="51" t="s">
        <v>646</v>
      </c>
      <c r="K3" s="51" t="s">
        <v>1142</v>
      </c>
      <c r="L3" s="51" t="s">
        <v>647</v>
      </c>
      <c r="M3" s="51" t="s">
        <v>648</v>
      </c>
      <c r="N3" s="56" t="s">
        <v>1141</v>
      </c>
    </row>
    <row r="4" spans="1:14" ht="160" customHeight="1">
      <c r="A4" s="50">
        <v>3</v>
      </c>
      <c r="B4" s="51" t="s">
        <v>18</v>
      </c>
      <c r="C4" s="52" t="s">
        <v>649</v>
      </c>
      <c r="D4" s="113" t="s">
        <v>13</v>
      </c>
      <c r="E4" s="53">
        <v>46286</v>
      </c>
      <c r="F4" s="54" t="s">
        <v>650</v>
      </c>
      <c r="G4" s="55">
        <v>0.5</v>
      </c>
      <c r="H4" s="51" t="s">
        <v>651</v>
      </c>
      <c r="I4" s="51" t="s">
        <v>652</v>
      </c>
      <c r="J4" s="51" t="s">
        <v>653</v>
      </c>
      <c r="K4" s="51" t="s">
        <v>1143</v>
      </c>
      <c r="L4" s="51" t="s">
        <v>654</v>
      </c>
      <c r="M4" s="51" t="s">
        <v>655</v>
      </c>
      <c r="N4" s="56" t="s">
        <v>1141</v>
      </c>
    </row>
    <row r="5" spans="1:14" ht="39.65" customHeight="1">
      <c r="A5" s="7">
        <v>4</v>
      </c>
      <c r="B5" s="8" t="s">
        <v>19</v>
      </c>
      <c r="C5" s="7" t="s">
        <v>20</v>
      </c>
      <c r="D5" s="114" t="s">
        <v>21</v>
      </c>
      <c r="E5" s="9" t="s">
        <v>14</v>
      </c>
      <c r="F5" s="9" t="s">
        <v>14</v>
      </c>
      <c r="G5" s="10">
        <v>1</v>
      </c>
      <c r="H5" s="8" t="s">
        <v>22</v>
      </c>
      <c r="I5" s="8" t="s">
        <v>23</v>
      </c>
      <c r="J5" s="8" t="s">
        <v>24</v>
      </c>
      <c r="K5" s="8" t="s">
        <v>1144</v>
      </c>
      <c r="L5" s="8" t="s">
        <v>25</v>
      </c>
      <c r="M5" s="8" t="s">
        <v>26</v>
      </c>
      <c r="N5" s="4" t="s">
        <v>27</v>
      </c>
    </row>
    <row r="6" spans="1:14" ht="96" customHeight="1">
      <c r="A6" s="7"/>
      <c r="B6" s="8"/>
      <c r="C6" s="7"/>
      <c r="D6" s="114" t="s">
        <v>21</v>
      </c>
      <c r="E6" s="9"/>
      <c r="F6" s="9"/>
      <c r="G6" s="10"/>
      <c r="H6" s="8"/>
      <c r="I6" s="8"/>
      <c r="J6" s="8"/>
      <c r="K6" s="8"/>
      <c r="L6" s="8"/>
      <c r="M6" s="8"/>
      <c r="N6" s="12" t="s">
        <v>35</v>
      </c>
    </row>
    <row r="7" spans="1:14" ht="96" customHeight="1">
      <c r="A7" s="7"/>
      <c r="B7" s="8"/>
      <c r="C7" s="7"/>
      <c r="D7" s="114" t="s">
        <v>21</v>
      </c>
      <c r="E7" s="9"/>
      <c r="F7" s="9"/>
      <c r="G7" s="10"/>
      <c r="H7" s="8"/>
      <c r="I7" s="8"/>
      <c r="J7" s="8"/>
      <c r="K7" s="8"/>
      <c r="L7" s="8"/>
      <c r="M7" s="8"/>
      <c r="N7" s="12" t="s">
        <v>43</v>
      </c>
    </row>
    <row r="8" spans="1:14" ht="96" customHeight="1">
      <c r="A8" s="11">
        <v>5</v>
      </c>
      <c r="B8" s="12" t="s">
        <v>28</v>
      </c>
      <c r="C8" s="7" t="s">
        <v>656</v>
      </c>
      <c r="D8" s="114"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70</v>
      </c>
      <c r="D9" s="114" t="s">
        <v>21</v>
      </c>
      <c r="E9" s="13" t="s">
        <v>14</v>
      </c>
      <c r="F9" s="13" t="s">
        <v>560</v>
      </c>
      <c r="G9" s="14">
        <v>1</v>
      </c>
      <c r="H9" s="12" t="s">
        <v>37</v>
      </c>
      <c r="I9" s="12" t="s">
        <v>38</v>
      </c>
      <c r="J9" s="12" t="s">
        <v>39</v>
      </c>
      <c r="K9" s="12" t="s">
        <v>40</v>
      </c>
      <c r="L9" s="12" t="s">
        <v>41</v>
      </c>
      <c r="M9" s="12" t="s">
        <v>42</v>
      </c>
      <c r="N9" s="12" t="s">
        <v>35</v>
      </c>
    </row>
    <row r="10" spans="1:14" ht="96" customHeight="1">
      <c r="A10" s="11">
        <v>7</v>
      </c>
      <c r="B10" s="12" t="s">
        <v>44</v>
      </c>
      <c r="C10" s="7" t="s">
        <v>45</v>
      </c>
      <c r="D10" s="114" t="s">
        <v>21</v>
      </c>
      <c r="E10" s="13" t="s">
        <v>14</v>
      </c>
      <c r="F10" s="13" t="s">
        <v>14</v>
      </c>
      <c r="G10" s="14">
        <v>1</v>
      </c>
      <c r="H10" s="12" t="s">
        <v>46</v>
      </c>
      <c r="I10" s="12" t="s">
        <v>47</v>
      </c>
      <c r="J10" s="12" t="s">
        <v>48</v>
      </c>
      <c r="K10" s="12" t="s">
        <v>1145</v>
      </c>
      <c r="L10" s="12" t="s">
        <v>49</v>
      </c>
      <c r="M10" s="12" t="s">
        <v>50</v>
      </c>
      <c r="N10" s="12" t="s">
        <v>66</v>
      </c>
    </row>
    <row r="11" spans="1:14" ht="62.5">
      <c r="A11" s="11">
        <v>8</v>
      </c>
      <c r="B11" s="12" t="s">
        <v>51</v>
      </c>
      <c r="C11" s="7" t="s">
        <v>70</v>
      </c>
      <c r="D11" s="114" t="s">
        <v>21</v>
      </c>
      <c r="E11" s="13" t="s">
        <v>14</v>
      </c>
      <c r="F11" s="13" t="s">
        <v>14</v>
      </c>
      <c r="G11" s="14">
        <v>1</v>
      </c>
      <c r="H11" s="12" t="s">
        <v>52</v>
      </c>
      <c r="I11" s="12" t="s">
        <v>53</v>
      </c>
      <c r="J11" s="12" t="s">
        <v>54</v>
      </c>
      <c r="K11" s="12" t="s">
        <v>55</v>
      </c>
      <c r="L11" s="12" t="s">
        <v>56</v>
      </c>
      <c r="M11" s="12" t="s">
        <v>57</v>
      </c>
    </row>
    <row r="12" spans="1:14" ht="50">
      <c r="A12" s="11">
        <v>9</v>
      </c>
      <c r="B12" s="12" t="s">
        <v>58</v>
      </c>
      <c r="C12" s="7" t="s">
        <v>70</v>
      </c>
      <c r="D12" s="114" t="s">
        <v>21</v>
      </c>
      <c r="E12" s="13" t="s">
        <v>59</v>
      </c>
      <c r="F12" s="13" t="s">
        <v>14</v>
      </c>
      <c r="G12" s="14">
        <v>1</v>
      </c>
      <c r="H12" s="12" t="s">
        <v>60</v>
      </c>
      <c r="I12" s="12" t="s">
        <v>61</v>
      </c>
      <c r="J12" s="12" t="s">
        <v>62</v>
      </c>
      <c r="K12" s="12" t="s">
        <v>63</v>
      </c>
      <c r="L12" s="12" t="s">
        <v>64</v>
      </c>
      <c r="M12" s="12" t="s">
        <v>65</v>
      </c>
    </row>
  </sheetData>
  <conditionalFormatting sqref="C2:C12">
    <cfRule type="containsText" dxfId="73" priority="5" operator="containsText" text="Completed"/>
    <cfRule type="containsText" dxfId="72" priority="6" operator="containsText" text="In Progress"/>
    <cfRule type="containsText" dxfId="71" priority="7" operator="containsText" text="At Risk"/>
    <cfRule type="containsText" dxfId="70" priority="8" operator="containsText" text="Not Started"/>
  </conditionalFormatting>
  <conditionalFormatting sqref="D2:D4">
    <cfRule type="containsText" dxfId="69" priority="13" operator="containsText" text="Red"/>
    <cfRule type="containsText" dxfId="68" priority="14" operator="containsText" text="Amber"/>
    <cfRule type="containsText" dxfId="67" priority="15" operator="containsText" text="Green"/>
  </conditionalFormatting>
  <conditionalFormatting sqref="D5:D12">
    <cfRule type="containsText" dxfId="66" priority="1" operator="containsText" text="At Risk"/>
    <cfRule type="containsText" dxfId="65" priority="2" operator="containsText" text="Amber"/>
    <cfRule type="containsText" dxfId="64"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230" customHeight="1">
      <c r="A2" s="7">
        <v>1</v>
      </c>
      <c r="B2" s="7" t="s">
        <v>67</v>
      </c>
      <c r="C2" s="7" t="s">
        <v>544</v>
      </c>
      <c r="D2" s="115" t="s">
        <v>13</v>
      </c>
      <c r="E2" s="9">
        <v>46241</v>
      </c>
      <c r="F2" s="9" t="s">
        <v>545</v>
      </c>
      <c r="G2" s="100">
        <v>0.55000000000000004</v>
      </c>
      <c r="H2" s="24" t="s">
        <v>546</v>
      </c>
      <c r="I2" s="24" t="s">
        <v>547</v>
      </c>
      <c r="J2" s="24" t="s">
        <v>548</v>
      </c>
      <c r="K2" s="24" t="s">
        <v>1148</v>
      </c>
      <c r="L2" s="24" t="s">
        <v>549</v>
      </c>
      <c r="M2" s="24" t="s">
        <v>550</v>
      </c>
      <c r="N2" s="21" t="s">
        <v>551</v>
      </c>
    </row>
    <row r="3" spans="1:14" ht="245" customHeight="1">
      <c r="A3" s="7">
        <v>2</v>
      </c>
      <c r="B3" s="7" t="s">
        <v>418</v>
      </c>
      <c r="C3" s="7" t="s">
        <v>552</v>
      </c>
      <c r="D3" s="115" t="s">
        <v>13</v>
      </c>
      <c r="E3" s="9">
        <v>46251</v>
      </c>
      <c r="F3" s="9" t="s">
        <v>553</v>
      </c>
      <c r="G3" s="100">
        <v>0.4</v>
      </c>
      <c r="H3" s="24" t="s">
        <v>554</v>
      </c>
      <c r="I3" s="24" t="s">
        <v>555</v>
      </c>
      <c r="J3" s="24" t="s">
        <v>556</v>
      </c>
      <c r="K3" s="24" t="s">
        <v>1149</v>
      </c>
      <c r="L3" s="24" t="s">
        <v>557</v>
      </c>
      <c r="M3" s="24" t="s">
        <v>558</v>
      </c>
      <c r="N3" s="21" t="s">
        <v>559</v>
      </c>
    </row>
    <row r="4" spans="1:14" ht="135" customHeight="1">
      <c r="A4" s="7">
        <v>3</v>
      </c>
      <c r="B4" s="7" t="s">
        <v>68</v>
      </c>
      <c r="C4" s="7" t="s">
        <v>821</v>
      </c>
      <c r="D4" s="116" t="s">
        <v>13</v>
      </c>
      <c r="E4" s="9">
        <v>46289</v>
      </c>
      <c r="F4" s="9" t="s">
        <v>822</v>
      </c>
      <c r="G4" s="100">
        <v>0.85</v>
      </c>
      <c r="H4" s="24" t="s">
        <v>823</v>
      </c>
      <c r="I4" s="24" t="s">
        <v>824</v>
      </c>
      <c r="J4" s="24" t="s">
        <v>825</v>
      </c>
      <c r="K4" s="24" t="s">
        <v>826</v>
      </c>
      <c r="L4" s="24" t="s">
        <v>827</v>
      </c>
      <c r="M4" s="24" t="s">
        <v>828</v>
      </c>
      <c r="N4" s="21" t="s">
        <v>829</v>
      </c>
    </row>
    <row r="5" spans="1:14" ht="15" customHeight="1">
      <c r="A5" s="7">
        <v>4</v>
      </c>
      <c r="B5" s="8" t="s">
        <v>69</v>
      </c>
      <c r="C5" s="7" t="s">
        <v>70</v>
      </c>
      <c r="D5" s="116" t="s">
        <v>13</v>
      </c>
      <c r="E5" s="9" t="s">
        <v>14</v>
      </c>
      <c r="F5" s="9" t="s">
        <v>14</v>
      </c>
      <c r="G5" s="100">
        <v>1</v>
      </c>
      <c r="H5" s="8" t="s">
        <v>71</v>
      </c>
      <c r="I5" s="8" t="s">
        <v>72</v>
      </c>
      <c r="J5" s="8" t="s">
        <v>73</v>
      </c>
      <c r="K5" s="8" t="s">
        <v>1150</v>
      </c>
      <c r="L5" s="8" t="s">
        <v>74</v>
      </c>
      <c r="M5" s="8" t="s">
        <v>75</v>
      </c>
      <c r="N5" s="4" t="s">
        <v>15</v>
      </c>
    </row>
    <row r="6" spans="1:14" ht="15" customHeight="1">
      <c r="A6" s="7">
        <v>5</v>
      </c>
      <c r="B6" s="8" t="s">
        <v>76</v>
      </c>
      <c r="C6" s="7" t="s">
        <v>70</v>
      </c>
      <c r="D6" s="116" t="s">
        <v>13</v>
      </c>
      <c r="E6" s="9" t="s">
        <v>14</v>
      </c>
      <c r="F6" s="9" t="s">
        <v>560</v>
      </c>
      <c r="G6" s="100">
        <v>1</v>
      </c>
      <c r="H6" s="8" t="s">
        <v>77</v>
      </c>
      <c r="I6" s="8" t="s">
        <v>78</v>
      </c>
      <c r="J6" s="8" t="s">
        <v>79</v>
      </c>
      <c r="K6" s="8" t="s">
        <v>1150</v>
      </c>
      <c r="L6" s="8" t="s">
        <v>80</v>
      </c>
      <c r="M6" s="8" t="s">
        <v>81</v>
      </c>
      <c r="N6" s="4" t="s">
        <v>15</v>
      </c>
    </row>
    <row r="7" spans="1:14" ht="135" customHeight="1">
      <c r="A7" s="7">
        <v>6</v>
      </c>
      <c r="B7" s="7" t="s">
        <v>82</v>
      </c>
      <c r="C7" s="7" t="s">
        <v>830</v>
      </c>
      <c r="D7" s="116" t="s">
        <v>13</v>
      </c>
      <c r="E7" s="9" t="s">
        <v>14</v>
      </c>
      <c r="F7" s="9" t="s">
        <v>831</v>
      </c>
      <c r="G7" s="100">
        <v>0.68</v>
      </c>
      <c r="H7" s="24" t="s">
        <v>832</v>
      </c>
      <c r="I7" s="24" t="s">
        <v>833</v>
      </c>
      <c r="J7" s="24" t="s">
        <v>834</v>
      </c>
      <c r="K7" s="24" t="s">
        <v>835</v>
      </c>
      <c r="L7" s="24" t="s">
        <v>836</v>
      </c>
      <c r="M7" s="24" t="s">
        <v>837</v>
      </c>
      <c r="N7" s="21" t="s">
        <v>829</v>
      </c>
    </row>
    <row r="8" spans="1:14" ht="26.5" customHeight="1">
      <c r="A8" s="7">
        <v>7</v>
      </c>
      <c r="B8" s="8" t="s">
        <v>83</v>
      </c>
      <c r="C8" s="7" t="s">
        <v>17</v>
      </c>
      <c r="D8" s="117" t="s">
        <v>21</v>
      </c>
      <c r="E8" s="9" t="s">
        <v>14</v>
      </c>
      <c r="F8" s="9" t="s">
        <v>14</v>
      </c>
      <c r="G8" s="100">
        <v>0.9</v>
      </c>
      <c r="H8" s="8" t="s">
        <v>84</v>
      </c>
      <c r="I8" s="8" t="s">
        <v>85</v>
      </c>
      <c r="J8" s="8" t="s">
        <v>86</v>
      </c>
      <c r="K8" s="8" t="s">
        <v>1150</v>
      </c>
      <c r="L8" s="8" t="s">
        <v>87</v>
      </c>
      <c r="M8" s="8" t="s">
        <v>88</v>
      </c>
      <c r="N8" s="4" t="s">
        <v>15</v>
      </c>
    </row>
    <row r="9" spans="1:14" ht="26.5" customHeight="1">
      <c r="A9" s="7">
        <v>8</v>
      </c>
      <c r="B9" s="8" t="s">
        <v>89</v>
      </c>
      <c r="C9" s="7" t="s">
        <v>17</v>
      </c>
      <c r="D9" s="117" t="s">
        <v>21</v>
      </c>
      <c r="E9" s="9" t="s">
        <v>14</v>
      </c>
      <c r="F9" s="9">
        <v>46318</v>
      </c>
      <c r="G9" s="100">
        <v>0.8</v>
      </c>
      <c r="H9" s="8" t="s">
        <v>90</v>
      </c>
      <c r="I9" s="8" t="s">
        <v>91</v>
      </c>
      <c r="J9" s="8" t="s">
        <v>92</v>
      </c>
      <c r="K9" s="8" t="s">
        <v>1150</v>
      </c>
      <c r="L9" s="8" t="s">
        <v>93</v>
      </c>
      <c r="M9" s="8" t="s">
        <v>94</v>
      </c>
      <c r="N9" s="4" t="s">
        <v>15</v>
      </c>
    </row>
    <row r="10" spans="1:14" ht="112" customHeight="1">
      <c r="A10" s="7">
        <v>9</v>
      </c>
      <c r="B10" s="7" t="s">
        <v>378</v>
      </c>
      <c r="C10" s="41" t="s">
        <v>838</v>
      </c>
      <c r="D10" s="117" t="s">
        <v>21</v>
      </c>
      <c r="E10" s="9" t="s">
        <v>14</v>
      </c>
      <c r="F10" s="9" t="s">
        <v>839</v>
      </c>
      <c r="G10" s="100">
        <v>0.82</v>
      </c>
      <c r="H10" s="24" t="s">
        <v>840</v>
      </c>
      <c r="I10" s="24" t="s">
        <v>841</v>
      </c>
      <c r="J10" s="24" t="s">
        <v>842</v>
      </c>
      <c r="K10" s="24" t="s">
        <v>561</v>
      </c>
      <c r="L10" s="24" t="s">
        <v>843</v>
      </c>
      <c r="M10" s="24" t="s">
        <v>844</v>
      </c>
      <c r="N10" s="21" t="s">
        <v>845</v>
      </c>
    </row>
    <row r="11" spans="1:14" ht="26.5" customHeight="1">
      <c r="A11" s="7">
        <v>10</v>
      </c>
      <c r="B11" s="8" t="s">
        <v>96</v>
      </c>
      <c r="C11" s="7" t="s">
        <v>70</v>
      </c>
      <c r="D11" s="117" t="s">
        <v>21</v>
      </c>
      <c r="E11" s="9" t="s">
        <v>14</v>
      </c>
      <c r="F11" s="9" t="s">
        <v>560</v>
      </c>
      <c r="G11" s="100">
        <v>1</v>
      </c>
      <c r="H11" s="8" t="s">
        <v>97</v>
      </c>
      <c r="I11" s="8" t="s">
        <v>98</v>
      </c>
      <c r="J11" s="8" t="s">
        <v>99</v>
      </c>
      <c r="K11" s="8" t="s">
        <v>1150</v>
      </c>
      <c r="L11" s="8" t="s">
        <v>100</v>
      </c>
      <c r="M11" s="8" t="s">
        <v>101</v>
      </c>
      <c r="N11" s="4" t="s">
        <v>95</v>
      </c>
    </row>
    <row r="12" spans="1:14" ht="39.65" customHeight="1">
      <c r="A12" s="7">
        <v>11</v>
      </c>
      <c r="B12" s="8" t="s">
        <v>102</v>
      </c>
      <c r="C12" s="7" t="s">
        <v>70</v>
      </c>
      <c r="D12" s="117" t="s">
        <v>21</v>
      </c>
      <c r="E12" s="9" t="s">
        <v>14</v>
      </c>
      <c r="F12" s="9" t="s">
        <v>560</v>
      </c>
      <c r="G12" s="100">
        <v>1</v>
      </c>
      <c r="H12" s="8" t="s">
        <v>103</v>
      </c>
      <c r="I12" s="8" t="s">
        <v>104</v>
      </c>
      <c r="J12" s="8" t="s">
        <v>105</v>
      </c>
      <c r="K12" s="8" t="s">
        <v>1150</v>
      </c>
      <c r="L12" s="8" t="s">
        <v>106</v>
      </c>
      <c r="M12" s="8" t="s">
        <v>107</v>
      </c>
      <c r="N12" s="4" t="s">
        <v>95</v>
      </c>
    </row>
    <row r="13" spans="1:14" ht="26.5" customHeight="1">
      <c r="A13" s="7">
        <v>12</v>
      </c>
      <c r="B13" s="8" t="s">
        <v>108</v>
      </c>
      <c r="C13" s="7" t="s">
        <v>109</v>
      </c>
      <c r="D13" s="116" t="s">
        <v>13</v>
      </c>
      <c r="E13" s="9" t="s">
        <v>14</v>
      </c>
      <c r="F13" s="9" t="s">
        <v>14</v>
      </c>
      <c r="G13" s="100">
        <v>0.75</v>
      </c>
      <c r="H13" s="8" t="s">
        <v>110</v>
      </c>
      <c r="I13" s="8" t="s">
        <v>111</v>
      </c>
      <c r="J13" s="8" t="s">
        <v>112</v>
      </c>
      <c r="K13" s="8" t="s">
        <v>1150</v>
      </c>
      <c r="L13" s="8" t="s">
        <v>113</v>
      </c>
      <c r="M13" s="8" t="s">
        <v>114</v>
      </c>
      <c r="N13" s="4" t="s">
        <v>95</v>
      </c>
    </row>
    <row r="14" spans="1:14" ht="26.5" customHeight="1">
      <c r="A14" s="7">
        <v>13</v>
      </c>
      <c r="B14" s="8" t="s">
        <v>115</v>
      </c>
      <c r="C14" s="7" t="s">
        <v>70</v>
      </c>
      <c r="D14" s="117" t="s">
        <v>21</v>
      </c>
      <c r="E14" s="9" t="s">
        <v>14</v>
      </c>
      <c r="F14" s="9" t="s">
        <v>560</v>
      </c>
      <c r="G14" s="100">
        <v>1</v>
      </c>
      <c r="H14" s="8" t="s">
        <v>116</v>
      </c>
      <c r="I14" s="8" t="s">
        <v>117</v>
      </c>
      <c r="J14" s="8" t="s">
        <v>118</v>
      </c>
      <c r="K14" s="8" t="s">
        <v>1150</v>
      </c>
      <c r="L14" s="8" t="s">
        <v>119</v>
      </c>
      <c r="M14" s="8" t="s">
        <v>120</v>
      </c>
      <c r="N14" s="4" t="s">
        <v>95</v>
      </c>
    </row>
    <row r="15" spans="1:14" ht="26.5" customHeight="1">
      <c r="A15" s="7">
        <v>14</v>
      </c>
      <c r="B15" s="8" t="s">
        <v>121</v>
      </c>
      <c r="C15" s="7" t="s">
        <v>70</v>
      </c>
      <c r="D15" s="117" t="s">
        <v>21</v>
      </c>
      <c r="E15" s="9" t="s">
        <v>14</v>
      </c>
      <c r="F15" s="9" t="s">
        <v>560</v>
      </c>
      <c r="G15" s="100">
        <v>1</v>
      </c>
      <c r="H15" s="8" t="s">
        <v>122</v>
      </c>
      <c r="I15" s="8" t="s">
        <v>123</v>
      </c>
      <c r="J15" s="8" t="s">
        <v>124</v>
      </c>
      <c r="K15" s="8" t="s">
        <v>1150</v>
      </c>
      <c r="L15" s="8" t="s">
        <v>125</v>
      </c>
      <c r="M15" s="8" t="s">
        <v>126</v>
      </c>
      <c r="N15" s="4" t="s">
        <v>95</v>
      </c>
    </row>
    <row r="16" spans="1:14" ht="26.5" customHeight="1">
      <c r="A16" s="7">
        <v>15</v>
      </c>
      <c r="B16" s="8" t="s">
        <v>127</v>
      </c>
      <c r="C16" s="7" t="s">
        <v>17</v>
      </c>
      <c r="D16" s="116" t="s">
        <v>13</v>
      </c>
      <c r="E16" s="9" t="s">
        <v>14</v>
      </c>
      <c r="F16" s="9" t="s">
        <v>14</v>
      </c>
      <c r="G16" s="100">
        <v>0.65</v>
      </c>
      <c r="H16" s="8" t="s">
        <v>128</v>
      </c>
      <c r="I16" s="8" t="s">
        <v>129</v>
      </c>
      <c r="J16" s="8" t="s">
        <v>130</v>
      </c>
      <c r="K16" s="8" t="s">
        <v>1150</v>
      </c>
      <c r="L16" s="8" t="s">
        <v>131</v>
      </c>
      <c r="M16" s="8" t="s">
        <v>132</v>
      </c>
      <c r="N16" s="4" t="s">
        <v>95</v>
      </c>
    </row>
    <row r="17" spans="1:14" ht="26.5" customHeight="1">
      <c r="A17" s="7">
        <v>16</v>
      </c>
      <c r="B17" s="8" t="s">
        <v>133</v>
      </c>
      <c r="C17" s="7" t="s">
        <v>70</v>
      </c>
      <c r="D17" s="117" t="s">
        <v>21</v>
      </c>
      <c r="E17" s="9" t="s">
        <v>14</v>
      </c>
      <c r="F17" s="9" t="s">
        <v>560</v>
      </c>
      <c r="G17" s="100">
        <v>1</v>
      </c>
      <c r="H17" s="8" t="s">
        <v>134</v>
      </c>
      <c r="I17" s="8" t="s">
        <v>135</v>
      </c>
      <c r="J17" s="8" t="s">
        <v>136</v>
      </c>
      <c r="K17" s="8" t="s">
        <v>1150</v>
      </c>
      <c r="L17" s="8" t="s">
        <v>137</v>
      </c>
      <c r="M17" s="8" t="s">
        <v>138</v>
      </c>
      <c r="N17" s="4" t="s">
        <v>95</v>
      </c>
    </row>
    <row r="18" spans="1:14" ht="120" customHeight="1">
      <c r="A18" s="7">
        <v>17</v>
      </c>
      <c r="B18" s="7" t="s">
        <v>846</v>
      </c>
      <c r="C18" s="18" t="s">
        <v>847</v>
      </c>
      <c r="D18" s="116" t="s">
        <v>13</v>
      </c>
      <c r="E18" s="9" t="s">
        <v>14</v>
      </c>
      <c r="F18" s="9" t="s">
        <v>848</v>
      </c>
      <c r="G18" s="100">
        <v>0.75</v>
      </c>
      <c r="H18" s="24" t="s">
        <v>849</v>
      </c>
      <c r="I18" s="24" t="s">
        <v>850</v>
      </c>
      <c r="J18" s="24" t="s">
        <v>851</v>
      </c>
      <c r="K18" s="24" t="s">
        <v>852</v>
      </c>
      <c r="L18" s="24" t="s">
        <v>853</v>
      </c>
      <c r="M18" s="24" t="s">
        <v>854</v>
      </c>
      <c r="N18" s="21" t="s">
        <v>855</v>
      </c>
    </row>
    <row r="19" spans="1:14" ht="158.5" customHeight="1">
      <c r="A19" s="7">
        <v>18</v>
      </c>
      <c r="B19" s="8" t="s">
        <v>139</v>
      </c>
      <c r="C19" s="7" t="s">
        <v>70</v>
      </c>
      <c r="D19" s="117" t="s">
        <v>21</v>
      </c>
      <c r="E19" s="9" t="s">
        <v>14</v>
      </c>
      <c r="F19" s="9" t="s">
        <v>560</v>
      </c>
      <c r="G19" s="100">
        <v>1</v>
      </c>
      <c r="H19" s="8" t="s">
        <v>140</v>
      </c>
      <c r="I19" s="8" t="s">
        <v>141</v>
      </c>
      <c r="J19" s="8" t="s">
        <v>142</v>
      </c>
      <c r="K19" s="8" t="s">
        <v>1150</v>
      </c>
      <c r="L19" s="8" t="s">
        <v>25</v>
      </c>
      <c r="M19" s="8" t="s">
        <v>26</v>
      </c>
      <c r="N19" s="4" t="s">
        <v>27</v>
      </c>
    </row>
    <row r="20" spans="1:14" ht="96" customHeight="1">
      <c r="A20" s="11">
        <v>20</v>
      </c>
      <c r="B20" s="12" t="s">
        <v>143</v>
      </c>
      <c r="C20" s="12" t="s">
        <v>70</v>
      </c>
      <c r="D20" s="117" t="s">
        <v>21</v>
      </c>
      <c r="E20" s="13" t="s">
        <v>14</v>
      </c>
      <c r="F20" s="13" t="s">
        <v>560</v>
      </c>
      <c r="G20" s="88">
        <v>1</v>
      </c>
      <c r="H20" s="12" t="s">
        <v>144</v>
      </c>
      <c r="I20" s="12" t="s">
        <v>145</v>
      </c>
      <c r="J20" s="12" t="s">
        <v>146</v>
      </c>
      <c r="K20" s="12" t="s">
        <v>1151</v>
      </c>
      <c r="L20" s="12" t="s">
        <v>147</v>
      </c>
      <c r="M20" s="12" t="s">
        <v>148</v>
      </c>
      <c r="N20" s="12" t="s">
        <v>35</v>
      </c>
    </row>
    <row r="21" spans="1:14" ht="145" customHeight="1">
      <c r="A21" s="11">
        <v>21</v>
      </c>
      <c r="B21" s="11" t="s">
        <v>421</v>
      </c>
      <c r="C21" s="18" t="s">
        <v>562</v>
      </c>
      <c r="D21" s="116" t="s">
        <v>13</v>
      </c>
      <c r="E21" s="13">
        <v>46296</v>
      </c>
      <c r="F21" s="13" t="s">
        <v>563</v>
      </c>
      <c r="G21" s="88">
        <v>0.85</v>
      </c>
      <c r="H21" s="12" t="s">
        <v>564</v>
      </c>
      <c r="I21" s="12" t="s">
        <v>565</v>
      </c>
      <c r="J21" s="12" t="s">
        <v>566</v>
      </c>
      <c r="K21" s="12" t="s">
        <v>567</v>
      </c>
      <c r="L21" s="12" t="s">
        <v>568</v>
      </c>
      <c r="M21" s="12" t="s">
        <v>569</v>
      </c>
      <c r="N21" s="12" t="s">
        <v>570</v>
      </c>
    </row>
    <row r="22" spans="1:14" ht="96" customHeight="1">
      <c r="A22" s="11">
        <v>22</v>
      </c>
      <c r="B22" s="12" t="s">
        <v>149</v>
      </c>
      <c r="C22" s="17" t="s">
        <v>70</v>
      </c>
      <c r="D22" s="117" t="s">
        <v>21</v>
      </c>
      <c r="E22" s="13" t="s">
        <v>150</v>
      </c>
      <c r="F22" s="13" t="s">
        <v>560</v>
      </c>
      <c r="G22" s="88">
        <v>1</v>
      </c>
      <c r="H22" s="12" t="s">
        <v>151</v>
      </c>
      <c r="I22" s="12" t="s">
        <v>152</v>
      </c>
      <c r="J22" s="12" t="s">
        <v>153</v>
      </c>
      <c r="K22" s="12" t="s">
        <v>154</v>
      </c>
      <c r="L22" s="12" t="s">
        <v>155</v>
      </c>
      <c r="M22" s="12" t="s">
        <v>156</v>
      </c>
      <c r="N22" s="12" t="s">
        <v>35</v>
      </c>
    </row>
    <row r="23" spans="1:14" ht="112" customHeight="1">
      <c r="A23" s="11">
        <v>23</v>
      </c>
      <c r="B23" s="12" t="s">
        <v>856</v>
      </c>
      <c r="C23" s="42" t="s">
        <v>857</v>
      </c>
      <c r="D23" s="116" t="s">
        <v>13</v>
      </c>
      <c r="E23" s="13" t="s">
        <v>858</v>
      </c>
      <c r="F23" s="13" t="s">
        <v>859</v>
      </c>
      <c r="G23" s="88">
        <v>0.75</v>
      </c>
      <c r="H23" s="12" t="s">
        <v>860</v>
      </c>
      <c r="I23" s="12" t="s">
        <v>861</v>
      </c>
      <c r="J23" s="12" t="s">
        <v>862</v>
      </c>
      <c r="K23" s="12" t="s">
        <v>863</v>
      </c>
      <c r="L23" s="12" t="s">
        <v>864</v>
      </c>
      <c r="M23" s="12" t="s">
        <v>865</v>
      </c>
      <c r="N23" s="12" t="s">
        <v>866</v>
      </c>
    </row>
    <row r="24" spans="1:14" ht="96" customHeight="1">
      <c r="A24" s="11">
        <v>24</v>
      </c>
      <c r="B24" s="12" t="s">
        <v>158</v>
      </c>
      <c r="C24" s="17" t="s">
        <v>159</v>
      </c>
      <c r="D24" s="116" t="s">
        <v>13</v>
      </c>
      <c r="E24" s="13" t="s">
        <v>14</v>
      </c>
      <c r="F24" s="13" t="s">
        <v>14</v>
      </c>
      <c r="G24" s="88">
        <v>0.7</v>
      </c>
      <c r="H24" s="12" t="s">
        <v>160</v>
      </c>
      <c r="I24" s="12" t="s">
        <v>161</v>
      </c>
      <c r="J24" s="12" t="s">
        <v>162</v>
      </c>
      <c r="K24" s="12" t="s">
        <v>163</v>
      </c>
      <c r="L24" s="12" t="s">
        <v>164</v>
      </c>
      <c r="M24" s="12" t="s">
        <v>165</v>
      </c>
      <c r="N24" s="12" t="s">
        <v>35</v>
      </c>
    </row>
    <row r="25" spans="1:14" ht="96" customHeight="1">
      <c r="A25" s="11">
        <v>25</v>
      </c>
      <c r="B25" s="12" t="s">
        <v>166</v>
      </c>
      <c r="C25" s="22" t="s">
        <v>167</v>
      </c>
      <c r="D25" s="116" t="s">
        <v>13</v>
      </c>
      <c r="E25" s="13" t="s">
        <v>168</v>
      </c>
      <c r="F25" s="13" t="s">
        <v>14</v>
      </c>
      <c r="G25" s="88">
        <v>0.7</v>
      </c>
      <c r="H25" s="12" t="s">
        <v>169</v>
      </c>
      <c r="I25" s="12" t="s">
        <v>170</v>
      </c>
      <c r="J25" s="12" t="s">
        <v>171</v>
      </c>
      <c r="K25" s="12" t="s">
        <v>172</v>
      </c>
      <c r="L25" s="12" t="s">
        <v>173</v>
      </c>
      <c r="M25" s="12" t="s">
        <v>174</v>
      </c>
      <c r="N25" s="12" t="s">
        <v>35</v>
      </c>
    </row>
    <row r="26" spans="1:14" ht="96" customHeight="1">
      <c r="A26" s="11">
        <v>26</v>
      </c>
      <c r="B26" s="12" t="s">
        <v>175</v>
      </c>
      <c r="C26" s="22" t="s">
        <v>17</v>
      </c>
      <c r="D26" s="116" t="s">
        <v>13</v>
      </c>
      <c r="E26" s="13" t="s">
        <v>14</v>
      </c>
      <c r="F26" s="13" t="s">
        <v>14</v>
      </c>
      <c r="G26" s="88">
        <v>0.7</v>
      </c>
      <c r="H26" s="12" t="s">
        <v>176</v>
      </c>
      <c r="I26" s="12" t="s">
        <v>379</v>
      </c>
      <c r="J26" s="12" t="s">
        <v>380</v>
      </c>
      <c r="K26" s="12" t="s">
        <v>177</v>
      </c>
      <c r="L26" s="12" t="s">
        <v>178</v>
      </c>
      <c r="M26" s="12" t="s">
        <v>179</v>
      </c>
      <c r="N26" s="12" t="s">
        <v>381</v>
      </c>
    </row>
    <row r="27" spans="1:14" ht="112" customHeight="1">
      <c r="A27" s="25">
        <v>27</v>
      </c>
      <c r="B27" s="25" t="s">
        <v>180</v>
      </c>
      <c r="C27" s="22" t="s">
        <v>867</v>
      </c>
      <c r="D27" s="116" t="s">
        <v>13</v>
      </c>
      <c r="E27" s="26" t="s">
        <v>572</v>
      </c>
      <c r="F27" s="26" t="s">
        <v>868</v>
      </c>
      <c r="G27" s="118">
        <v>0.75</v>
      </c>
      <c r="H27" s="27" t="s">
        <v>869</v>
      </c>
      <c r="I27" s="27" t="s">
        <v>870</v>
      </c>
      <c r="J27" s="27" t="s">
        <v>871</v>
      </c>
      <c r="K27" s="27" t="s">
        <v>872</v>
      </c>
      <c r="L27" s="27" t="s">
        <v>873</v>
      </c>
      <c r="M27" s="27" t="s">
        <v>874</v>
      </c>
      <c r="N27" s="27" t="s">
        <v>875</v>
      </c>
    </row>
    <row r="28" spans="1:14" ht="165" customHeight="1">
      <c r="A28" s="18">
        <v>28</v>
      </c>
      <c r="B28" s="18" t="s">
        <v>876</v>
      </c>
      <c r="C28" s="16" t="s">
        <v>877</v>
      </c>
      <c r="D28" s="116" t="s">
        <v>13</v>
      </c>
      <c r="E28" s="19" t="s">
        <v>14</v>
      </c>
      <c r="F28" s="18" t="s">
        <v>878</v>
      </c>
      <c r="G28" s="48">
        <v>0.7</v>
      </c>
      <c r="H28" s="21" t="s">
        <v>879</v>
      </c>
      <c r="I28" s="21" t="s">
        <v>880</v>
      </c>
      <c r="J28" s="21" t="s">
        <v>881</v>
      </c>
      <c r="K28" s="21" t="s">
        <v>882</v>
      </c>
      <c r="L28" s="21" t="s">
        <v>883</v>
      </c>
      <c r="M28" s="21" t="s">
        <v>884</v>
      </c>
      <c r="N28" s="21" t="s">
        <v>885</v>
      </c>
    </row>
    <row r="29" spans="1:14">
      <c r="A29" s="15">
        <v>29</v>
      </c>
      <c r="B29" s="15" t="s">
        <v>382</v>
      </c>
      <c r="C29" s="15" t="s">
        <v>70</v>
      </c>
      <c r="D29" s="117" t="s">
        <v>21</v>
      </c>
      <c r="E29" s="43" t="s">
        <v>14</v>
      </c>
      <c r="F29" s="15" t="s">
        <v>560</v>
      </c>
      <c r="G29" s="119">
        <v>1</v>
      </c>
      <c r="H29" s="15" t="s">
        <v>383</v>
      </c>
      <c r="I29" s="15" t="s">
        <v>384</v>
      </c>
      <c r="J29" s="15" t="s">
        <v>385</v>
      </c>
      <c r="K29" s="15" t="s">
        <v>386</v>
      </c>
      <c r="L29" s="15" t="s">
        <v>387</v>
      </c>
      <c r="M29" s="15" t="s">
        <v>388</v>
      </c>
      <c r="N29" s="15" t="s">
        <v>389</v>
      </c>
    </row>
    <row r="30" spans="1:14">
      <c r="A30" s="15">
        <v>30</v>
      </c>
      <c r="B30" s="15" t="s">
        <v>390</v>
      </c>
      <c r="C30" s="15" t="s">
        <v>70</v>
      </c>
      <c r="D30" s="117" t="s">
        <v>21</v>
      </c>
      <c r="E30" s="43" t="s">
        <v>14</v>
      </c>
      <c r="F30" s="15" t="s">
        <v>560</v>
      </c>
      <c r="G30" s="119">
        <v>1</v>
      </c>
      <c r="H30" s="15" t="s">
        <v>422</v>
      </c>
      <c r="I30" s="15" t="s">
        <v>391</v>
      </c>
      <c r="J30" s="15" t="s">
        <v>392</v>
      </c>
      <c r="K30" s="15" t="s">
        <v>393</v>
      </c>
      <c r="L30" s="15" t="s">
        <v>394</v>
      </c>
      <c r="M30" s="15" t="s">
        <v>395</v>
      </c>
      <c r="N30" s="15" t="s">
        <v>389</v>
      </c>
    </row>
    <row r="31" spans="1:14">
      <c r="A31" s="15">
        <v>31</v>
      </c>
      <c r="B31" s="15" t="s">
        <v>396</v>
      </c>
      <c r="C31" s="15" t="s">
        <v>70</v>
      </c>
      <c r="D31" s="117" t="s">
        <v>21</v>
      </c>
      <c r="E31" s="43" t="s">
        <v>14</v>
      </c>
      <c r="F31" s="15" t="s">
        <v>560</v>
      </c>
      <c r="G31" s="119">
        <v>1</v>
      </c>
      <c r="H31" s="15" t="s">
        <v>397</v>
      </c>
      <c r="I31" s="15" t="s">
        <v>398</v>
      </c>
      <c r="J31" s="15" t="s">
        <v>399</v>
      </c>
      <c r="K31" s="15" t="s">
        <v>400</v>
      </c>
      <c r="L31" s="15" t="s">
        <v>401</v>
      </c>
      <c r="M31" s="15" t="s">
        <v>402</v>
      </c>
      <c r="N31" s="15" t="s">
        <v>389</v>
      </c>
    </row>
    <row r="32" spans="1:14">
      <c r="A32" s="15">
        <v>32</v>
      </c>
      <c r="B32" s="15" t="s">
        <v>403</v>
      </c>
      <c r="C32" s="15" t="s">
        <v>70</v>
      </c>
      <c r="D32" s="117" t="s">
        <v>21</v>
      </c>
      <c r="E32" s="43" t="s">
        <v>14</v>
      </c>
      <c r="F32" s="15" t="s">
        <v>560</v>
      </c>
      <c r="G32" s="119">
        <v>1</v>
      </c>
      <c r="H32" s="15" t="s">
        <v>404</v>
      </c>
      <c r="I32" s="15" t="s">
        <v>405</v>
      </c>
      <c r="J32" s="15" t="s">
        <v>406</v>
      </c>
      <c r="K32" s="15" t="s">
        <v>407</v>
      </c>
      <c r="L32" s="15" t="s">
        <v>408</v>
      </c>
      <c r="M32" s="15" t="s">
        <v>409</v>
      </c>
      <c r="N32" s="15" t="s">
        <v>389</v>
      </c>
    </row>
    <row r="33" spans="1:14">
      <c r="A33" s="15">
        <v>33</v>
      </c>
      <c r="B33" s="15" t="s">
        <v>410</v>
      </c>
      <c r="C33" s="15" t="s">
        <v>411</v>
      </c>
      <c r="D33" s="117" t="s">
        <v>21</v>
      </c>
      <c r="E33" s="43" t="s">
        <v>14</v>
      </c>
      <c r="F33" s="15" t="s">
        <v>14</v>
      </c>
      <c r="G33" s="119">
        <v>1</v>
      </c>
      <c r="H33" s="15" t="s">
        <v>412</v>
      </c>
      <c r="I33" s="15" t="s">
        <v>413</v>
      </c>
      <c r="J33" s="15" t="s">
        <v>414</v>
      </c>
      <c r="K33" s="15" t="s">
        <v>415</v>
      </c>
      <c r="L33" s="15" t="s">
        <v>416</v>
      </c>
      <c r="M33" s="15" t="s">
        <v>417</v>
      </c>
      <c r="N33" s="15" t="s">
        <v>389</v>
      </c>
    </row>
    <row r="34" spans="1:14" ht="130" customHeight="1">
      <c r="A34" s="18">
        <v>34</v>
      </c>
      <c r="B34" s="18" t="s">
        <v>423</v>
      </c>
      <c r="C34" s="18" t="s">
        <v>424</v>
      </c>
      <c r="D34" s="116" t="s">
        <v>13</v>
      </c>
      <c r="E34" s="19">
        <v>46297</v>
      </c>
      <c r="F34" s="18" t="s">
        <v>14</v>
      </c>
      <c r="G34" s="48">
        <v>0.7</v>
      </c>
      <c r="H34" s="21" t="s">
        <v>425</v>
      </c>
      <c r="I34" s="21" t="s">
        <v>426</v>
      </c>
      <c r="J34" s="21" t="s">
        <v>427</v>
      </c>
      <c r="K34" s="21" t="s">
        <v>1152</v>
      </c>
      <c r="L34" s="21" t="s">
        <v>428</v>
      </c>
      <c r="M34" s="21" t="s">
        <v>429</v>
      </c>
      <c r="N34" s="21" t="s">
        <v>420</v>
      </c>
    </row>
    <row r="35" spans="1:14" ht="112" customHeight="1">
      <c r="A35" s="18">
        <v>35</v>
      </c>
      <c r="B35" s="18" t="s">
        <v>430</v>
      </c>
      <c r="C35" s="44" t="s">
        <v>886</v>
      </c>
      <c r="D35" s="116" t="s">
        <v>13</v>
      </c>
      <c r="E35" s="19" t="s">
        <v>858</v>
      </c>
      <c r="F35" s="19" t="s">
        <v>887</v>
      </c>
      <c r="G35" s="48">
        <v>0.7</v>
      </c>
      <c r="H35" s="21" t="s">
        <v>888</v>
      </c>
      <c r="I35" s="21" t="s">
        <v>889</v>
      </c>
      <c r="J35" s="21" t="s">
        <v>890</v>
      </c>
      <c r="K35" s="21" t="s">
        <v>891</v>
      </c>
      <c r="L35" s="21" t="s">
        <v>892</v>
      </c>
      <c r="M35" s="21" t="s">
        <v>893</v>
      </c>
      <c r="N35" s="21" t="s">
        <v>875</v>
      </c>
    </row>
    <row r="36" spans="1:14" ht="130" customHeight="1">
      <c r="A36" s="18">
        <v>36</v>
      </c>
      <c r="B36" s="18" t="s">
        <v>431</v>
      </c>
      <c r="C36" s="18" t="s">
        <v>432</v>
      </c>
      <c r="D36" s="116" t="s">
        <v>13</v>
      </c>
      <c r="E36" s="19">
        <v>46297</v>
      </c>
      <c r="F36" s="18" t="s">
        <v>14</v>
      </c>
      <c r="G36" s="48">
        <v>0.7</v>
      </c>
      <c r="H36" s="21" t="s">
        <v>433</v>
      </c>
      <c r="I36" s="21" t="s">
        <v>434</v>
      </c>
      <c r="J36" s="21" t="s">
        <v>435</v>
      </c>
      <c r="K36" s="21" t="s">
        <v>436</v>
      </c>
      <c r="L36" s="21" t="s">
        <v>437</v>
      </c>
      <c r="M36" s="21" t="s">
        <v>438</v>
      </c>
      <c r="N36" s="21" t="s">
        <v>439</v>
      </c>
    </row>
    <row r="37" spans="1:14" ht="112" customHeight="1">
      <c r="A37" s="18">
        <v>37</v>
      </c>
      <c r="B37" s="18" t="s">
        <v>440</v>
      </c>
      <c r="C37" s="44" t="s">
        <v>894</v>
      </c>
      <c r="D37" s="116" t="s">
        <v>13</v>
      </c>
      <c r="E37" s="19" t="s">
        <v>14</v>
      </c>
      <c r="F37" s="19" t="s">
        <v>895</v>
      </c>
      <c r="G37" s="48">
        <v>0.7</v>
      </c>
      <c r="H37" s="21" t="s">
        <v>896</v>
      </c>
      <c r="I37" s="21" t="s">
        <v>897</v>
      </c>
      <c r="J37" s="21" t="s">
        <v>898</v>
      </c>
      <c r="K37" s="21" t="s">
        <v>899</v>
      </c>
      <c r="L37" s="21" t="s">
        <v>900</v>
      </c>
      <c r="M37" s="21" t="s">
        <v>901</v>
      </c>
      <c r="N37" s="21" t="s">
        <v>845</v>
      </c>
    </row>
    <row r="38" spans="1:14" ht="130" customHeight="1">
      <c r="A38" s="18">
        <v>38</v>
      </c>
      <c r="B38" s="18" t="s">
        <v>441</v>
      </c>
      <c r="C38" s="18" t="s">
        <v>442</v>
      </c>
      <c r="D38" s="116" t="s">
        <v>13</v>
      </c>
      <c r="E38" s="19">
        <v>46297</v>
      </c>
      <c r="F38" s="18" t="s">
        <v>14</v>
      </c>
      <c r="G38" s="48">
        <v>0.7</v>
      </c>
      <c r="H38" s="21" t="s">
        <v>443</v>
      </c>
      <c r="I38" s="21" t="s">
        <v>444</v>
      </c>
      <c r="J38" s="21" t="s">
        <v>445</v>
      </c>
      <c r="K38" s="21" t="s">
        <v>446</v>
      </c>
      <c r="L38" s="21" t="s">
        <v>447</v>
      </c>
      <c r="M38" s="21" t="s">
        <v>448</v>
      </c>
      <c r="N38" s="21" t="s">
        <v>420</v>
      </c>
    </row>
    <row r="39" spans="1:14" ht="130" customHeight="1">
      <c r="A39" s="18">
        <v>39</v>
      </c>
      <c r="B39" s="18" t="s">
        <v>449</v>
      </c>
      <c r="C39" s="18" t="s">
        <v>70</v>
      </c>
      <c r="D39" s="117" t="s">
        <v>21</v>
      </c>
      <c r="E39" s="19">
        <v>46297</v>
      </c>
      <c r="F39" s="18" t="s">
        <v>560</v>
      </c>
      <c r="G39" s="48">
        <v>1</v>
      </c>
      <c r="H39" s="21" t="s">
        <v>450</v>
      </c>
      <c r="I39" s="21" t="s">
        <v>451</v>
      </c>
      <c r="J39" s="21" t="s">
        <v>452</v>
      </c>
      <c r="K39" s="21" t="s">
        <v>453</v>
      </c>
      <c r="L39" s="21" t="s">
        <v>454</v>
      </c>
      <c r="M39" s="21" t="s">
        <v>455</v>
      </c>
      <c r="N39" s="21" t="s">
        <v>420</v>
      </c>
    </row>
    <row r="40" spans="1:14" ht="130" customHeight="1">
      <c r="A40" s="18">
        <v>40</v>
      </c>
      <c r="B40" s="18" t="s">
        <v>456</v>
      </c>
      <c r="C40" s="18" t="s">
        <v>70</v>
      </c>
      <c r="D40" s="117" t="s">
        <v>21</v>
      </c>
      <c r="E40" s="19">
        <v>46297</v>
      </c>
      <c r="F40" s="18" t="s">
        <v>560</v>
      </c>
      <c r="G40" s="48">
        <v>1</v>
      </c>
      <c r="H40" s="21" t="s">
        <v>457</v>
      </c>
      <c r="I40" s="21" t="s">
        <v>458</v>
      </c>
      <c r="J40" s="21" t="s">
        <v>459</v>
      </c>
      <c r="K40" s="21" t="s">
        <v>460</v>
      </c>
      <c r="L40" s="21" t="s">
        <v>461</v>
      </c>
      <c r="M40" s="21" t="s">
        <v>462</v>
      </c>
      <c r="N40" s="21" t="s">
        <v>420</v>
      </c>
    </row>
    <row r="41" spans="1:14" ht="112" customHeight="1">
      <c r="A41" s="18">
        <v>41</v>
      </c>
      <c r="B41" s="18" t="s">
        <v>463</v>
      </c>
      <c r="C41" s="44" t="s">
        <v>902</v>
      </c>
      <c r="D41" s="117" t="s">
        <v>21</v>
      </c>
      <c r="E41" s="19" t="s">
        <v>14</v>
      </c>
      <c r="F41" s="19" t="s">
        <v>903</v>
      </c>
      <c r="G41" s="48">
        <v>0.75</v>
      </c>
      <c r="H41" s="21" t="s">
        <v>904</v>
      </c>
      <c r="I41" s="21" t="s">
        <v>905</v>
      </c>
      <c r="J41" s="21" t="s">
        <v>906</v>
      </c>
      <c r="K41" s="21" t="s">
        <v>907</v>
      </c>
      <c r="L41" s="21" t="s">
        <v>908</v>
      </c>
      <c r="M41" s="21" t="s">
        <v>909</v>
      </c>
      <c r="N41" s="21" t="s">
        <v>829</v>
      </c>
    </row>
    <row r="42" spans="1:14" ht="130" customHeight="1">
      <c r="A42" s="18">
        <v>42</v>
      </c>
      <c r="B42" s="18" t="s">
        <v>464</v>
      </c>
      <c r="C42" s="18" t="s">
        <v>910</v>
      </c>
      <c r="D42" s="116" t="s">
        <v>13</v>
      </c>
      <c r="E42" s="19" t="s">
        <v>14</v>
      </c>
      <c r="F42" s="18" t="s">
        <v>911</v>
      </c>
      <c r="G42" s="48">
        <v>0.7</v>
      </c>
      <c r="H42" s="21" t="s">
        <v>912</v>
      </c>
      <c r="I42" s="21" t="s">
        <v>913</v>
      </c>
      <c r="J42" s="21" t="s">
        <v>914</v>
      </c>
      <c r="K42" s="21" t="s">
        <v>915</v>
      </c>
      <c r="L42" s="21" t="s">
        <v>916</v>
      </c>
      <c r="M42" s="21" t="s">
        <v>917</v>
      </c>
      <c r="N42" s="21" t="s">
        <v>918</v>
      </c>
    </row>
    <row r="43" spans="1:14" ht="130" customHeight="1">
      <c r="A43" s="18">
        <v>43</v>
      </c>
      <c r="B43" s="18" t="s">
        <v>465</v>
      </c>
      <c r="C43" s="18" t="s">
        <v>919</v>
      </c>
      <c r="D43" s="116" t="s">
        <v>13</v>
      </c>
      <c r="E43" s="19" t="s">
        <v>14</v>
      </c>
      <c r="F43" s="18" t="s">
        <v>911</v>
      </c>
      <c r="G43" s="48">
        <v>0.7</v>
      </c>
      <c r="H43" s="21" t="s">
        <v>920</v>
      </c>
      <c r="I43" s="21" t="s">
        <v>921</v>
      </c>
      <c r="J43" s="21" t="s">
        <v>922</v>
      </c>
      <c r="K43" s="21" t="s">
        <v>923</v>
      </c>
      <c r="L43" s="21" t="s">
        <v>924</v>
      </c>
      <c r="M43" s="21" t="s">
        <v>925</v>
      </c>
      <c r="N43" s="21" t="s">
        <v>918</v>
      </c>
    </row>
    <row r="44" spans="1:14" ht="130" customHeight="1">
      <c r="A44" s="18">
        <v>44</v>
      </c>
      <c r="B44" s="18" t="s">
        <v>926</v>
      </c>
      <c r="C44" s="18" t="s">
        <v>927</v>
      </c>
      <c r="D44" s="116" t="s">
        <v>13</v>
      </c>
      <c r="E44" s="19" t="s">
        <v>14</v>
      </c>
      <c r="F44" s="18" t="s">
        <v>928</v>
      </c>
      <c r="G44" s="48">
        <v>0.7</v>
      </c>
      <c r="H44" s="21" t="s">
        <v>929</v>
      </c>
      <c r="I44" s="21" t="s">
        <v>930</v>
      </c>
      <c r="J44" s="21" t="s">
        <v>931</v>
      </c>
      <c r="K44" s="21" t="s">
        <v>932</v>
      </c>
      <c r="L44" s="21" t="s">
        <v>933</v>
      </c>
      <c r="M44" s="21" t="s">
        <v>934</v>
      </c>
      <c r="N44" s="21" t="s">
        <v>918</v>
      </c>
    </row>
    <row r="45" spans="1:14" ht="130" customHeight="1">
      <c r="A45" s="18">
        <v>45</v>
      </c>
      <c r="B45" s="18" t="s">
        <v>466</v>
      </c>
      <c r="C45" s="18" t="s">
        <v>467</v>
      </c>
      <c r="D45" s="116" t="s">
        <v>13</v>
      </c>
      <c r="E45" s="19">
        <v>46299</v>
      </c>
      <c r="F45" s="18" t="s">
        <v>14</v>
      </c>
      <c r="G45" s="48">
        <v>0.7</v>
      </c>
      <c r="H45" s="21" t="s">
        <v>468</v>
      </c>
      <c r="I45" s="21" t="s">
        <v>469</v>
      </c>
      <c r="J45" s="21" t="s">
        <v>470</v>
      </c>
      <c r="K45" s="21" t="s">
        <v>471</v>
      </c>
      <c r="L45" s="21" t="s">
        <v>472</v>
      </c>
      <c r="M45" s="21" t="s">
        <v>473</v>
      </c>
      <c r="N45" s="21" t="s">
        <v>419</v>
      </c>
    </row>
    <row r="46" spans="1:14" ht="130" customHeight="1">
      <c r="A46" s="18">
        <v>46</v>
      </c>
      <c r="B46" s="18" t="s">
        <v>474</v>
      </c>
      <c r="C46" s="18" t="s">
        <v>475</v>
      </c>
      <c r="D46" s="116" t="s">
        <v>13</v>
      </c>
      <c r="E46" s="19">
        <v>46299</v>
      </c>
      <c r="F46" s="18" t="s">
        <v>14</v>
      </c>
      <c r="G46" s="48">
        <v>0.7</v>
      </c>
      <c r="H46" s="21" t="s">
        <v>476</v>
      </c>
      <c r="I46" s="21" t="s">
        <v>477</v>
      </c>
      <c r="J46" s="21" t="s">
        <v>478</v>
      </c>
      <c r="K46" s="21" t="s">
        <v>479</v>
      </c>
      <c r="L46" s="21" t="s">
        <v>480</v>
      </c>
      <c r="M46" s="21" t="s">
        <v>481</v>
      </c>
      <c r="N46" s="21" t="s">
        <v>419</v>
      </c>
    </row>
    <row r="47" spans="1:14" ht="130" customHeight="1">
      <c r="A47" s="18">
        <v>47</v>
      </c>
      <c r="B47" s="18" t="s">
        <v>482</v>
      </c>
      <c r="C47" s="18" t="s">
        <v>935</v>
      </c>
      <c r="D47" s="116" t="s">
        <v>13</v>
      </c>
      <c r="E47" s="19" t="s">
        <v>14</v>
      </c>
      <c r="F47" s="18" t="s">
        <v>936</v>
      </c>
      <c r="G47" s="48">
        <v>0.6</v>
      </c>
      <c r="H47" s="21" t="s">
        <v>937</v>
      </c>
      <c r="I47" s="21" t="s">
        <v>938</v>
      </c>
      <c r="J47" s="21" t="s">
        <v>939</v>
      </c>
      <c r="K47" s="21" t="s">
        <v>940</v>
      </c>
      <c r="L47" s="21" t="s">
        <v>941</v>
      </c>
      <c r="M47" s="21" t="s">
        <v>942</v>
      </c>
      <c r="N47" s="21" t="s">
        <v>918</v>
      </c>
    </row>
    <row r="48" spans="1:14" ht="130" customHeight="1">
      <c r="A48" s="18">
        <v>48</v>
      </c>
      <c r="B48" s="18" t="s">
        <v>483</v>
      </c>
      <c r="C48" s="18" t="s">
        <v>943</v>
      </c>
      <c r="D48" s="116" t="s">
        <v>13</v>
      </c>
      <c r="E48" s="19" t="s">
        <v>14</v>
      </c>
      <c r="F48" s="18" t="s">
        <v>944</v>
      </c>
      <c r="G48" s="48">
        <v>0.7</v>
      </c>
      <c r="H48" s="21" t="s">
        <v>945</v>
      </c>
      <c r="I48" s="21" t="s">
        <v>946</v>
      </c>
      <c r="J48" s="21" t="s">
        <v>947</v>
      </c>
      <c r="K48" s="21" t="s">
        <v>948</v>
      </c>
      <c r="L48" s="21" t="s">
        <v>949</v>
      </c>
      <c r="M48" s="21" t="s">
        <v>950</v>
      </c>
      <c r="N48" s="21" t="s">
        <v>918</v>
      </c>
    </row>
    <row r="49" spans="1:14" ht="130" customHeight="1">
      <c r="A49" s="18">
        <v>49</v>
      </c>
      <c r="B49" s="18" t="s">
        <v>484</v>
      </c>
      <c r="C49" s="18" t="s">
        <v>951</v>
      </c>
      <c r="D49" s="116" t="s">
        <v>13</v>
      </c>
      <c r="E49" s="19" t="s">
        <v>14</v>
      </c>
      <c r="F49" s="18" t="s">
        <v>952</v>
      </c>
      <c r="G49" s="48">
        <v>0.7</v>
      </c>
      <c r="H49" s="21" t="s">
        <v>953</v>
      </c>
      <c r="I49" s="21" t="s">
        <v>954</v>
      </c>
      <c r="J49" s="21" t="s">
        <v>955</v>
      </c>
      <c r="K49" s="21" t="s">
        <v>956</v>
      </c>
      <c r="L49" s="21" t="s">
        <v>957</v>
      </c>
      <c r="M49" s="21" t="s">
        <v>958</v>
      </c>
      <c r="N49" s="21" t="s">
        <v>918</v>
      </c>
    </row>
    <row r="50" spans="1:14" ht="130" customHeight="1">
      <c r="A50" s="18">
        <v>50</v>
      </c>
      <c r="B50" s="18" t="s">
        <v>485</v>
      </c>
      <c r="C50" s="18" t="s">
        <v>486</v>
      </c>
      <c r="D50" s="116" t="s">
        <v>13</v>
      </c>
      <c r="E50" s="19">
        <v>46299</v>
      </c>
      <c r="F50" s="18" t="s">
        <v>14</v>
      </c>
      <c r="G50" s="48">
        <v>0.7</v>
      </c>
      <c r="H50" s="21" t="s">
        <v>487</v>
      </c>
      <c r="I50" s="21" t="s">
        <v>488</v>
      </c>
      <c r="J50" s="21" t="s">
        <v>489</v>
      </c>
      <c r="K50" s="21" t="s">
        <v>490</v>
      </c>
      <c r="L50" s="21" t="s">
        <v>491</v>
      </c>
      <c r="M50" s="21" t="s">
        <v>492</v>
      </c>
      <c r="N50" s="21" t="s">
        <v>419</v>
      </c>
    </row>
    <row r="51" spans="1:14" ht="130" customHeight="1">
      <c r="A51" s="18">
        <v>51</v>
      </c>
      <c r="B51" s="18" t="s">
        <v>493</v>
      </c>
      <c r="C51" s="18" t="s">
        <v>494</v>
      </c>
      <c r="D51" s="116" t="s">
        <v>13</v>
      </c>
      <c r="E51" s="19">
        <v>46299</v>
      </c>
      <c r="F51" s="18" t="s">
        <v>14</v>
      </c>
      <c r="G51" s="48">
        <v>0.7</v>
      </c>
      <c r="H51" s="21" t="s">
        <v>495</v>
      </c>
      <c r="I51" s="21" t="s">
        <v>496</v>
      </c>
      <c r="J51" s="21" t="s">
        <v>497</v>
      </c>
      <c r="K51" s="21" t="s">
        <v>498</v>
      </c>
      <c r="L51" s="21" t="s">
        <v>499</v>
      </c>
      <c r="M51" s="21" t="s">
        <v>500</v>
      </c>
      <c r="N51" s="21" t="s">
        <v>419</v>
      </c>
    </row>
    <row r="52" spans="1:14" ht="112" customHeight="1">
      <c r="A52" s="18">
        <v>52</v>
      </c>
      <c r="B52" s="18" t="s">
        <v>571</v>
      </c>
      <c r="C52" s="18" t="s">
        <v>959</v>
      </c>
      <c r="D52" s="116" t="s">
        <v>13</v>
      </c>
      <c r="E52" s="19" t="s">
        <v>572</v>
      </c>
      <c r="F52" s="19" t="s">
        <v>960</v>
      </c>
      <c r="G52" s="48">
        <v>0.5</v>
      </c>
      <c r="H52" s="21" t="s">
        <v>961</v>
      </c>
      <c r="I52" s="21" t="s">
        <v>962</v>
      </c>
      <c r="J52" s="21" t="s">
        <v>963</v>
      </c>
      <c r="K52" s="21" t="s">
        <v>964</v>
      </c>
      <c r="L52" s="21" t="s">
        <v>965</v>
      </c>
      <c r="M52" s="21" t="s">
        <v>966</v>
      </c>
      <c r="N52" s="21" t="s">
        <v>875</v>
      </c>
    </row>
    <row r="53" spans="1:14" ht="112" customHeight="1">
      <c r="A53" s="18">
        <v>53</v>
      </c>
      <c r="B53" s="18" t="s">
        <v>573</v>
      </c>
      <c r="C53" s="18" t="s">
        <v>574</v>
      </c>
      <c r="D53" s="116" t="s">
        <v>13</v>
      </c>
      <c r="E53" s="19" t="s">
        <v>572</v>
      </c>
      <c r="F53" s="19" t="s">
        <v>575</v>
      </c>
      <c r="G53" s="48">
        <v>0.7</v>
      </c>
      <c r="H53" s="21" t="s">
        <v>576</v>
      </c>
      <c r="I53" s="21" t="s">
        <v>577</v>
      </c>
      <c r="J53" s="21" t="s">
        <v>578</v>
      </c>
      <c r="K53" s="21" t="s">
        <v>579</v>
      </c>
      <c r="L53" s="21" t="s">
        <v>580</v>
      </c>
      <c r="M53" s="21" t="s">
        <v>581</v>
      </c>
      <c r="N53" s="21" t="s">
        <v>582</v>
      </c>
    </row>
    <row r="54" spans="1:14" ht="112" customHeight="1">
      <c r="A54" s="18">
        <v>54</v>
      </c>
      <c r="B54" s="18" t="s">
        <v>583</v>
      </c>
      <c r="C54" s="44" t="s">
        <v>967</v>
      </c>
      <c r="D54" s="116" t="s">
        <v>13</v>
      </c>
      <c r="E54" s="19" t="s">
        <v>572</v>
      </c>
      <c r="F54" s="19" t="s">
        <v>968</v>
      </c>
      <c r="G54" s="48">
        <v>0.7</v>
      </c>
      <c r="H54" s="21" t="s">
        <v>969</v>
      </c>
      <c r="I54" s="21" t="s">
        <v>970</v>
      </c>
      <c r="J54" s="21" t="s">
        <v>971</v>
      </c>
      <c r="K54" s="21" t="s">
        <v>972</v>
      </c>
      <c r="L54" s="21" t="s">
        <v>973</v>
      </c>
      <c r="M54" s="21" t="s">
        <v>974</v>
      </c>
      <c r="N54" s="21" t="s">
        <v>975</v>
      </c>
    </row>
    <row r="55" spans="1:14" ht="112" customHeight="1">
      <c r="A55" s="18">
        <v>55</v>
      </c>
      <c r="B55" s="18" t="s">
        <v>584</v>
      </c>
      <c r="C55" s="44" t="s">
        <v>585</v>
      </c>
      <c r="D55" s="116" t="s">
        <v>13</v>
      </c>
      <c r="E55" s="19" t="s">
        <v>572</v>
      </c>
      <c r="F55" s="19" t="s">
        <v>14</v>
      </c>
      <c r="G55" s="48">
        <v>0.7</v>
      </c>
      <c r="H55" s="21" t="s">
        <v>586</v>
      </c>
      <c r="I55" s="21" t="s">
        <v>587</v>
      </c>
      <c r="J55" s="21" t="s">
        <v>588</v>
      </c>
      <c r="K55" s="21" t="s">
        <v>589</v>
      </c>
      <c r="L55" s="21" t="s">
        <v>590</v>
      </c>
      <c r="M55" s="21" t="s">
        <v>591</v>
      </c>
      <c r="N55" s="21" t="s">
        <v>582</v>
      </c>
    </row>
    <row r="56" spans="1:14" ht="112" customHeight="1">
      <c r="A56" s="18">
        <v>56</v>
      </c>
      <c r="B56" s="18" t="s">
        <v>592</v>
      </c>
      <c r="C56" s="44" t="s">
        <v>976</v>
      </c>
      <c r="D56" s="116" t="s">
        <v>13</v>
      </c>
      <c r="E56" s="19" t="s">
        <v>572</v>
      </c>
      <c r="F56" s="19" t="s">
        <v>977</v>
      </c>
      <c r="G56" s="48">
        <v>0.7</v>
      </c>
      <c r="H56" s="21" t="s">
        <v>978</v>
      </c>
      <c r="I56" s="21" t="s">
        <v>979</v>
      </c>
      <c r="J56" s="21" t="s">
        <v>980</v>
      </c>
      <c r="K56" s="21" t="s">
        <v>593</v>
      </c>
      <c r="L56" s="21" t="s">
        <v>981</v>
      </c>
      <c r="M56" s="21" t="s">
        <v>982</v>
      </c>
      <c r="N56" s="21" t="s">
        <v>983</v>
      </c>
    </row>
    <row r="57" spans="1:14" ht="112" customHeight="1">
      <c r="A57" s="18">
        <v>57</v>
      </c>
      <c r="B57" s="18" t="s">
        <v>594</v>
      </c>
      <c r="C57" s="45" t="s">
        <v>595</v>
      </c>
      <c r="D57" s="117" t="s">
        <v>21</v>
      </c>
      <c r="E57" s="19" t="s">
        <v>14</v>
      </c>
      <c r="F57" s="19" t="s">
        <v>572</v>
      </c>
      <c r="G57" s="48">
        <v>1</v>
      </c>
      <c r="H57" s="21" t="s">
        <v>596</v>
      </c>
      <c r="I57" s="21" t="s">
        <v>597</v>
      </c>
      <c r="J57" s="21" t="s">
        <v>598</v>
      </c>
      <c r="K57" s="21" t="s">
        <v>599</v>
      </c>
      <c r="L57" s="21" t="s">
        <v>600</v>
      </c>
      <c r="M57" s="21" t="s">
        <v>601</v>
      </c>
      <c r="N57" s="21" t="s">
        <v>582</v>
      </c>
    </row>
    <row r="58" spans="1:14" ht="112" customHeight="1">
      <c r="A58" s="18">
        <v>58</v>
      </c>
      <c r="B58" s="18" t="s">
        <v>602</v>
      </c>
      <c r="C58" s="18" t="s">
        <v>603</v>
      </c>
      <c r="D58" s="116" t="s">
        <v>13</v>
      </c>
      <c r="E58" s="19" t="s">
        <v>572</v>
      </c>
      <c r="F58" s="19" t="s">
        <v>14</v>
      </c>
      <c r="G58" s="48">
        <v>0.7</v>
      </c>
      <c r="H58" s="21" t="s">
        <v>604</v>
      </c>
      <c r="I58" s="21" t="s">
        <v>605</v>
      </c>
      <c r="J58" s="21" t="s">
        <v>606</v>
      </c>
      <c r="K58" s="21" t="s">
        <v>1153</v>
      </c>
      <c r="L58" s="21" t="s">
        <v>607</v>
      </c>
      <c r="M58" s="21" t="s">
        <v>608</v>
      </c>
      <c r="N58" s="21" t="s">
        <v>582</v>
      </c>
    </row>
    <row r="59" spans="1:14" ht="112" customHeight="1">
      <c r="A59" s="18">
        <v>59</v>
      </c>
      <c r="B59" s="18" t="s">
        <v>609</v>
      </c>
      <c r="C59" s="18" t="s">
        <v>610</v>
      </c>
      <c r="D59" s="116" t="s">
        <v>13</v>
      </c>
      <c r="E59" s="19" t="s">
        <v>572</v>
      </c>
      <c r="F59" s="19" t="s">
        <v>14</v>
      </c>
      <c r="G59" s="48">
        <v>0.7</v>
      </c>
      <c r="H59" s="21" t="s">
        <v>611</v>
      </c>
      <c r="I59" s="21" t="s">
        <v>612</v>
      </c>
      <c r="J59" s="21" t="s">
        <v>613</v>
      </c>
      <c r="K59" s="21" t="s">
        <v>1154</v>
      </c>
      <c r="L59" s="21" t="s">
        <v>614</v>
      </c>
      <c r="M59" s="21" t="s">
        <v>615</v>
      </c>
      <c r="N59" s="21" t="s">
        <v>582</v>
      </c>
    </row>
    <row r="60" spans="1:14" ht="150" customHeight="1">
      <c r="A60" s="46">
        <v>60</v>
      </c>
      <c r="B60" s="46" t="s">
        <v>616</v>
      </c>
      <c r="C60" s="46" t="s">
        <v>617</v>
      </c>
      <c r="D60" s="116" t="s">
        <v>13</v>
      </c>
      <c r="E60" s="47">
        <v>46307</v>
      </c>
      <c r="F60" s="47" t="s">
        <v>618</v>
      </c>
      <c r="G60" s="48">
        <v>0.7</v>
      </c>
      <c r="H60" s="49" t="s">
        <v>619</v>
      </c>
      <c r="I60" s="49" t="s">
        <v>620</v>
      </c>
      <c r="J60" s="49" t="s">
        <v>621</v>
      </c>
      <c r="K60" s="49" t="s">
        <v>1155</v>
      </c>
      <c r="L60" s="49" t="s">
        <v>622</v>
      </c>
      <c r="M60" s="49" t="s">
        <v>623</v>
      </c>
      <c r="N60" s="49" t="s">
        <v>624</v>
      </c>
    </row>
    <row r="61" spans="1:14" ht="150" customHeight="1">
      <c r="A61" s="46">
        <v>61</v>
      </c>
      <c r="B61" s="46" t="s">
        <v>625</v>
      </c>
      <c r="C61" s="46" t="s">
        <v>626</v>
      </c>
      <c r="D61" s="116" t="s">
        <v>13</v>
      </c>
      <c r="E61" s="47">
        <v>46307</v>
      </c>
      <c r="F61" s="47" t="s">
        <v>627</v>
      </c>
      <c r="G61" s="48">
        <v>0.75</v>
      </c>
      <c r="H61" s="49" t="s">
        <v>628</v>
      </c>
      <c r="I61" s="49" t="s">
        <v>629</v>
      </c>
      <c r="J61" s="49" t="s">
        <v>630</v>
      </c>
      <c r="K61" s="49" t="s">
        <v>1156</v>
      </c>
      <c r="L61" s="49" t="s">
        <v>631</v>
      </c>
      <c r="M61" s="49" t="s">
        <v>632</v>
      </c>
      <c r="N61" s="49" t="s">
        <v>633</v>
      </c>
    </row>
    <row r="62" spans="1:14" ht="96" customHeight="1">
      <c r="A62" s="46">
        <v>62</v>
      </c>
      <c r="B62" s="46" t="s">
        <v>984</v>
      </c>
      <c r="C62" s="46" t="s">
        <v>985</v>
      </c>
      <c r="D62" s="116" t="s">
        <v>13</v>
      </c>
      <c r="E62" s="47" t="s">
        <v>986</v>
      </c>
      <c r="F62" s="47" t="s">
        <v>987</v>
      </c>
      <c r="G62" s="48">
        <v>0.7</v>
      </c>
      <c r="H62" s="49" t="s">
        <v>988</v>
      </c>
      <c r="I62" s="49" t="s">
        <v>989</v>
      </c>
      <c r="J62" s="49" t="s">
        <v>990</v>
      </c>
      <c r="K62" s="49" t="s">
        <v>991</v>
      </c>
      <c r="L62" s="49" t="s">
        <v>992</v>
      </c>
      <c r="M62" s="49" t="s">
        <v>993</v>
      </c>
      <c r="N62" s="49" t="s">
        <v>885</v>
      </c>
    </row>
    <row r="63" spans="1:14" ht="96" customHeight="1">
      <c r="A63" s="46">
        <v>63</v>
      </c>
      <c r="B63" s="46" t="s">
        <v>994</v>
      </c>
      <c r="C63" s="46" t="s">
        <v>995</v>
      </c>
      <c r="D63" s="116" t="s">
        <v>13</v>
      </c>
      <c r="E63" s="47" t="s">
        <v>996</v>
      </c>
      <c r="F63" s="47" t="s">
        <v>997</v>
      </c>
      <c r="G63" s="48">
        <v>0.7</v>
      </c>
      <c r="H63" s="49" t="s">
        <v>998</v>
      </c>
      <c r="I63" s="49" t="s">
        <v>999</v>
      </c>
      <c r="J63" s="49" t="s">
        <v>1000</v>
      </c>
      <c r="K63" s="49" t="s">
        <v>1001</v>
      </c>
      <c r="L63" s="49" t="s">
        <v>1002</v>
      </c>
      <c r="M63" s="49" t="s">
        <v>1003</v>
      </c>
      <c r="N63" s="49" t="s">
        <v>1004</v>
      </c>
    </row>
    <row r="64" spans="1:14" ht="96" customHeight="1">
      <c r="A64" s="46">
        <v>64</v>
      </c>
      <c r="B64" s="46" t="s">
        <v>1146</v>
      </c>
      <c r="C64" s="46" t="s">
        <v>1005</v>
      </c>
      <c r="D64" s="116" t="s">
        <v>13</v>
      </c>
      <c r="E64" s="47" t="s">
        <v>986</v>
      </c>
      <c r="F64" s="47" t="s">
        <v>1006</v>
      </c>
      <c r="G64" s="48">
        <v>0.7</v>
      </c>
      <c r="H64" s="49" t="s">
        <v>1007</v>
      </c>
      <c r="I64" s="49" t="s">
        <v>1008</v>
      </c>
      <c r="J64" s="49" t="s">
        <v>1009</v>
      </c>
      <c r="K64" s="49" t="s">
        <v>1147</v>
      </c>
      <c r="L64" s="49" t="s">
        <v>1010</v>
      </c>
      <c r="M64" s="49" t="s">
        <v>1011</v>
      </c>
      <c r="N64" s="49" t="s">
        <v>1012</v>
      </c>
    </row>
  </sheetData>
  <conditionalFormatting sqref="C2:C19">
    <cfRule type="containsText" dxfId="63" priority="10" operator="containsText" text="Completed"/>
    <cfRule type="containsText" dxfId="62" priority="11" operator="containsText" text="In Progress"/>
    <cfRule type="containsText" dxfId="61" priority="13" operator="containsText" text="Not Started"/>
  </conditionalFormatting>
  <conditionalFormatting sqref="C2:D19">
    <cfRule type="containsText" dxfId="60" priority="12" operator="containsText" text="At Risk"/>
  </conditionalFormatting>
  <conditionalFormatting sqref="D2:D20">
    <cfRule type="containsText" dxfId="59" priority="14" operator="containsText" text="Amber"/>
    <cfRule type="containsText" dxfId="58" priority="15" operator="containsText" text="Green"/>
  </conditionalFormatting>
  <conditionalFormatting sqref="D20:D22">
    <cfRule type="containsText" dxfId="57" priority="7" operator="containsText" text="At Risk"/>
  </conditionalFormatting>
  <conditionalFormatting sqref="D21:D22">
    <cfRule type="containsText" dxfId="56" priority="8" operator="containsText" text="Amber"/>
    <cfRule type="containsText" dxfId="55" priority="9" operator="containsText" text="Green"/>
  </conditionalFormatting>
  <conditionalFormatting sqref="D29:D34">
    <cfRule type="containsText" dxfId="54" priority="4" operator="containsText" text="At Risk"/>
    <cfRule type="containsText" dxfId="53" priority="5" operator="containsText" text="Amber"/>
    <cfRule type="containsText" dxfId="52" priority="6" operator="containsText" text="Green"/>
  </conditionalFormatting>
  <conditionalFormatting sqref="D39:D41">
    <cfRule type="containsText" dxfId="51" priority="1" operator="containsText" text="At Risk"/>
    <cfRule type="containsText" dxfId="50" priority="2" operator="containsText" text="Amber"/>
    <cfRule type="containsText" dxfId="49" priority="3" operator="containsText" text="Green"/>
  </conditionalFormatting>
  <conditionalFormatting sqref="F2:F19">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extLst>
        <ext xmlns:x14="http://schemas.microsoft.com/office/spreadsheetml/2009/9/main" uri="{B025F937-C7B1-47D3-B67F-A62EFF666E3E}">
          <x14:id>{156182D0-9FF4-4FBF-AFAD-CD6A2DEE7FBE}</x14:id>
        </ext>
      </extLst>
    </cfRule>
  </conditionalFormatting>
  <dataValidations count="3">
    <dataValidation type="list" sqref="C2:C19" xr:uid="{004D8A16-5DE8-4838-A645-76B07A0B358C}">
      <formula1>"Not Started,Pending,In Progress,Ongoing,At Risk,On Hold,Completed,Roadmap,Readiness,Evaluation"</formula1>
    </dataValidation>
    <dataValidation type="decimal" sqref="F2:F19" xr:uid="{AC49FF98-C748-44C8-A59F-E6F4D2E756BC}">
      <formula1>0</formula1>
      <formula2>1</formula2>
    </dataValidation>
    <dataValidation type="list" sqref="D33 D22 D2:D20 D39:D41" xr:uid="{D609AF7B-0E09-48A8-9202-DB9DC07DB8E9}">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56182D0-9FF4-4FBF-AFAD-CD6A2DEE7FBE}">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A2" sqref="A2:M2"/>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5" t="s">
        <v>657</v>
      </c>
      <c r="B1" s="135"/>
      <c r="C1" s="135"/>
      <c r="D1" s="135"/>
      <c r="E1" s="135"/>
      <c r="F1" s="135"/>
      <c r="G1" s="135"/>
      <c r="H1" s="135"/>
      <c r="I1" s="135"/>
      <c r="J1" s="135"/>
      <c r="K1" s="135"/>
      <c r="L1" s="135"/>
      <c r="M1" s="135"/>
      <c r="N1" s="57"/>
    </row>
    <row r="2" spans="1:14" ht="46" customHeight="1">
      <c r="A2" s="136" t="s">
        <v>658</v>
      </c>
      <c r="B2" s="136"/>
      <c r="C2" s="136"/>
      <c r="D2" s="136"/>
      <c r="E2" s="136"/>
      <c r="F2" s="136"/>
      <c r="G2" s="136"/>
      <c r="H2" s="136"/>
      <c r="I2" s="136"/>
      <c r="J2" s="136"/>
      <c r="K2" s="136"/>
      <c r="L2" s="136"/>
      <c r="M2" s="136"/>
      <c r="N2" s="58"/>
    </row>
    <row r="3" spans="1:14" ht="46" customHeight="1">
      <c r="A3" s="59" t="s">
        <v>0</v>
      </c>
      <c r="B3" s="60" t="s">
        <v>1</v>
      </c>
      <c r="C3" s="60" t="s">
        <v>2</v>
      </c>
      <c r="D3" s="60" t="s">
        <v>3</v>
      </c>
      <c r="E3" s="60" t="s">
        <v>4</v>
      </c>
      <c r="F3" s="60" t="s">
        <v>767</v>
      </c>
      <c r="G3" s="60" t="s">
        <v>5</v>
      </c>
      <c r="H3" s="61" t="s">
        <v>6</v>
      </c>
      <c r="I3" s="61" t="s">
        <v>7</v>
      </c>
      <c r="J3" s="61" t="s">
        <v>8</v>
      </c>
      <c r="K3" s="61" t="s">
        <v>659</v>
      </c>
      <c r="L3" s="61" t="s">
        <v>10</v>
      </c>
      <c r="M3" s="62" t="s">
        <v>11</v>
      </c>
      <c r="N3" s="63" t="s">
        <v>12</v>
      </c>
    </row>
    <row r="4" spans="1:14" ht="24">
      <c r="A4" s="64">
        <v>1</v>
      </c>
      <c r="B4" s="64" t="s">
        <v>181</v>
      </c>
      <c r="C4" s="65" t="s">
        <v>70</v>
      </c>
      <c r="D4" s="65" t="s">
        <v>21</v>
      </c>
      <c r="E4" s="66" t="s">
        <v>14</v>
      </c>
      <c r="F4" s="66" t="s">
        <v>560</v>
      </c>
      <c r="G4" s="67">
        <v>1</v>
      </c>
      <c r="H4" s="68" t="s">
        <v>70</v>
      </c>
      <c r="I4" s="68" t="s">
        <v>182</v>
      </c>
      <c r="J4" s="68" t="s">
        <v>183</v>
      </c>
      <c r="K4" s="69" t="s">
        <v>184</v>
      </c>
      <c r="L4" s="70" t="s">
        <v>185</v>
      </c>
      <c r="M4" s="70" t="s">
        <v>186</v>
      </c>
      <c r="N4" s="2" t="s">
        <v>15</v>
      </c>
    </row>
    <row r="5" spans="1:14" ht="46" customHeight="1">
      <c r="A5" s="71">
        <v>2</v>
      </c>
      <c r="B5" s="71" t="s">
        <v>187</v>
      </c>
      <c r="C5" s="65" t="s">
        <v>70</v>
      </c>
      <c r="D5" s="65" t="s">
        <v>21</v>
      </c>
      <c r="E5" s="72" t="s">
        <v>14</v>
      </c>
      <c r="F5" s="66" t="s">
        <v>560</v>
      </c>
      <c r="G5" s="67">
        <v>1</v>
      </c>
      <c r="H5" s="73" t="s">
        <v>70</v>
      </c>
      <c r="I5" s="73" t="s">
        <v>188</v>
      </c>
      <c r="J5" s="73" t="s">
        <v>189</v>
      </c>
      <c r="K5" s="74" t="s">
        <v>184</v>
      </c>
      <c r="L5" s="75" t="s">
        <v>185</v>
      </c>
      <c r="M5" s="75" t="s">
        <v>190</v>
      </c>
      <c r="N5" s="2" t="s">
        <v>15</v>
      </c>
    </row>
    <row r="6" spans="1:14" ht="84">
      <c r="A6" s="64">
        <v>3</v>
      </c>
      <c r="B6" s="64" t="s">
        <v>191</v>
      </c>
      <c r="C6" s="65" t="s">
        <v>70</v>
      </c>
      <c r="D6" s="65" t="s">
        <v>21</v>
      </c>
      <c r="E6" s="66" t="s">
        <v>14</v>
      </c>
      <c r="F6" s="66" t="s">
        <v>560</v>
      </c>
      <c r="G6" s="67">
        <v>1</v>
      </c>
      <c r="H6" s="76" t="s">
        <v>192</v>
      </c>
      <c r="I6" s="76" t="s">
        <v>660</v>
      </c>
      <c r="J6" s="76" t="s">
        <v>193</v>
      </c>
      <c r="K6" s="77" t="s">
        <v>184</v>
      </c>
      <c r="L6" s="78" t="s">
        <v>194</v>
      </c>
      <c r="M6" s="78" t="s">
        <v>195</v>
      </c>
      <c r="N6" s="2" t="e" vm="1">
        <f ca="1">_xlfn.DISPIMG("ID_BFCB287FF50949ACB47F716BD1E40440",1)</f>
        <v>#NAME?</v>
      </c>
    </row>
    <row r="7" spans="1:14" ht="24">
      <c r="A7" s="64">
        <v>4</v>
      </c>
      <c r="B7" s="64" t="s">
        <v>196</v>
      </c>
      <c r="C7" s="65" t="s">
        <v>70</v>
      </c>
      <c r="D7" s="65" t="s">
        <v>21</v>
      </c>
      <c r="E7" s="66" t="s">
        <v>14</v>
      </c>
      <c r="F7" s="66" t="s">
        <v>560</v>
      </c>
      <c r="G7" s="67">
        <v>1</v>
      </c>
      <c r="H7" s="76" t="s">
        <v>70</v>
      </c>
      <c r="I7" s="76" t="s">
        <v>197</v>
      </c>
      <c r="J7" s="76" t="s">
        <v>198</v>
      </c>
      <c r="K7" s="77" t="s">
        <v>199</v>
      </c>
      <c r="L7" s="78" t="s">
        <v>661</v>
      </c>
      <c r="M7" s="78" t="s">
        <v>200</v>
      </c>
      <c r="N7" t="s">
        <v>201</v>
      </c>
    </row>
    <row r="8" spans="1:14" ht="84">
      <c r="A8" s="64">
        <v>5</v>
      </c>
      <c r="B8" s="64" t="s">
        <v>202</v>
      </c>
      <c r="C8" s="64" t="s">
        <v>817</v>
      </c>
      <c r="D8" s="65" t="s">
        <v>21</v>
      </c>
      <c r="E8" s="66" t="s">
        <v>14</v>
      </c>
      <c r="F8" s="66" t="s">
        <v>14</v>
      </c>
      <c r="G8" s="67">
        <v>0.2</v>
      </c>
      <c r="H8" s="76" t="s">
        <v>17</v>
      </c>
      <c r="I8" s="79" t="s">
        <v>818</v>
      </c>
      <c r="J8" s="76" t="s">
        <v>819</v>
      </c>
      <c r="K8" s="77" t="s">
        <v>199</v>
      </c>
      <c r="L8" s="78" t="s">
        <v>820</v>
      </c>
      <c r="M8" s="78" t="s">
        <v>203</v>
      </c>
    </row>
  </sheetData>
  <mergeCells count="2">
    <mergeCell ref="A1:M1"/>
    <mergeCell ref="A2:M2"/>
  </mergeCells>
  <conditionalFormatting sqref="C4:D7">
    <cfRule type="expression" dxfId="48" priority="11">
      <formula>OR(ISNUMBER(SEARCH("At Risk",C4)),ISNUMBER(SEARCH("Security Risk",C4)),ISNUMBER(SEARCH("Blocked",C4)))</formula>
    </cfRule>
    <cfRule type="expression" dxfId="47" priority="12">
      <formula>OR(ISNUMBER(SEARCH("Green",C4)),ISNUMBER(SEARCH("Completed",C4)))</formula>
    </cfRule>
    <cfRule type="expression" dxfId="46" priority="13">
      <formula>AND(C4&lt;&gt;"",NOT(OR(ISNUMBER(SEARCH("At Risk",C4)),ISNUMBER(SEARCH("Security Risk",C4)),ISNUMBER(SEARCH("Blocked",C4)),ISNUMBER(SEARCH("Green",C4)),ISNUMBER(SEARCH("Completed",C4)))))</formula>
    </cfRule>
  </conditionalFormatting>
  <conditionalFormatting sqref="D8">
    <cfRule type="expression" dxfId="45" priority="1">
      <formula>OR(ISNUMBER(SEARCH("At Risk",D8)),ISNUMBER(SEARCH("Security Risk",D8)),ISNUMBER(SEARCH("Blocked",D8)))</formula>
    </cfRule>
    <cfRule type="expression" dxfId="44" priority="2">
      <formula>OR(ISNUMBER(SEARCH("Green",D8)),ISNUMBER(SEARCH("Completed",D8)))</formula>
    </cfRule>
    <cfRule type="expression" dxfId="43" priority="3">
      <formula>AND(D8&lt;&gt;"",NOT(OR(ISNUMBER(SEARCH("At Risk",D8)),ISNUMBER(SEARCH("Security Risk",D8)),ISNUMBER(SEARCH("Blocked",D8)),ISNUMBER(SEARCH("Green",D8)),ISNUMBER(SEARCH("Completed",D8)))))</formula>
    </cfRule>
  </conditionalFormatting>
  <conditionalFormatting sqref="H4:H7">
    <cfRule type="containsText" dxfId="42" priority="14" operator="containsText" text="Completed">
      <formula>NOT(ISERROR(SEARCH("Completed",H4)))</formula>
    </cfRule>
    <cfRule type="containsText" dxfId="41" priority="15" operator="containsText" text="In Progress">
      <formula>NOT(ISERROR(SEARCH("In Progress",H4)))</formula>
    </cfRule>
    <cfRule type="containsText" dxfId="40" priority="16" operator="containsText" text="At Risk">
      <formula>NOT(ISERROR(SEARCH("At Risk",H4)))</formula>
    </cfRule>
    <cfRule type="containsText" dxfId="39" priority="17" operator="containsText" text="Blocked">
      <formula>NOT(ISERROR(SEARCH("Blocked",H4)))</formula>
    </cfRule>
    <cfRule type="containsText" dxfId="38" priority="18" operator="containsText" text="Not Started">
      <formula>NOT(ISERROR(SEARCH("Not Started",H4)))</formula>
    </cfRule>
  </conditionalFormatting>
  <conditionalFormatting sqref="H8">
    <cfRule type="containsText" dxfId="37" priority="4" operator="containsText" text="Completed">
      <formula>NOT(ISERROR(SEARCH("Completed",H8)))</formula>
    </cfRule>
    <cfRule type="containsText" dxfId="36" priority="5" operator="containsText" text="In Progress">
      <formula>NOT(ISERROR(SEARCH("In Progress",H8)))</formula>
    </cfRule>
    <cfRule type="containsText" dxfId="35" priority="6" operator="containsText" text="At Risk">
      <formula>NOT(ISERROR(SEARCH("At Risk",H8)))</formula>
    </cfRule>
    <cfRule type="containsText" dxfId="34" priority="7" operator="containsText" text="Blocked">
      <formula>NOT(ISERROR(SEARCH("Blocked",H8)))</formula>
    </cfRule>
    <cfRule type="containsText" dxfId="33"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{31299ADD-143D-413D-82D8-B7EC96DC5D76}</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{5D3789F3-D091-445B-9E8D-282843424853}</x14:id>
        </ext>
      </extLst>
    </cfRule>
  </conditionalFormatting>
  <dataValidations count="1">
    <dataValidation type="list" sqref="H4:H8" xr:uid="{96476836-665F-4D67-B8AE-06FD2D683D5E}">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1299ADD-143D-413D-82D8-B7EC96DC5D76}">
            <x14:dataBar>
              <x14:cfvo type="min"/>
              <x14:cfvo type="max"/>
              <x14:negativeFillColor auto="1"/>
              <x14:axisColor auto="1"/>
            </x14:dataBar>
          </x14:cfRule>
          <xm:sqref>K4:K7</xm:sqref>
        </x14:conditionalFormatting>
        <x14:conditionalFormatting xmlns:xm="http://schemas.microsoft.com/office/excel/2006/main">
          <x14:cfRule type="dataBar" id="{5D3789F3-D091-445B-9E8D-282843424853}">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
  <sheetViews>
    <sheetView showGridLines="0" workbookViewId="0">
      <pane ySplit="1" topLeftCell="A2" activePane="bottomLeft" state="frozen"/>
      <selection pane="bottomLeft" activeCell="B2" sqref="B2"/>
    </sheetView>
  </sheetViews>
  <sheetFormatPr defaultColWidth="8.7265625" defaultRowHeight="14.5"/>
  <cols>
    <col min="1" max="1" width="6" style="28" customWidth="1"/>
    <col min="2" max="2" width="35" style="28" customWidth="1"/>
    <col min="3" max="4" width="22" style="28" customWidth="1"/>
    <col min="5" max="5" width="14" style="28" customWidth="1"/>
    <col min="6" max="6" width="15.36328125" style="28" customWidth="1"/>
    <col min="7" max="7" width="16" style="28" customWidth="1"/>
    <col min="8" max="8" width="38" style="28" customWidth="1"/>
    <col min="9" max="10" width="54" style="28" customWidth="1"/>
    <col min="11" max="11" width="29" style="28" customWidth="1"/>
    <col min="12" max="12" width="38" style="28" customWidth="1"/>
    <col min="13" max="13" width="36" style="28" customWidth="1"/>
    <col min="14" max="14" width="30" style="28" customWidth="1"/>
    <col min="15" max="16384" width="8.7265625" style="28"/>
  </cols>
  <sheetData>
    <row r="1" spans="1:14" ht="34" customHeight="1" thickBot="1">
      <c r="A1" s="80" t="s">
        <v>0</v>
      </c>
      <c r="B1" s="80" t="s">
        <v>1</v>
      </c>
      <c r="C1" s="80" t="s">
        <v>2</v>
      </c>
      <c r="D1" s="80" t="s">
        <v>3</v>
      </c>
      <c r="E1" s="80" t="s">
        <v>4</v>
      </c>
      <c r="F1" s="80" t="s">
        <v>767</v>
      </c>
      <c r="G1" s="80" t="s">
        <v>5</v>
      </c>
      <c r="H1" s="80" t="s">
        <v>6</v>
      </c>
      <c r="I1" s="80" t="s">
        <v>7</v>
      </c>
      <c r="J1" s="80" t="s">
        <v>8</v>
      </c>
      <c r="K1" s="80" t="s">
        <v>9</v>
      </c>
      <c r="L1" s="80" t="s">
        <v>10</v>
      </c>
      <c r="M1" s="80" t="s">
        <v>11</v>
      </c>
      <c r="N1" s="80" t="s">
        <v>12</v>
      </c>
    </row>
    <row r="2" spans="1:14" ht="87">
      <c r="A2" s="29">
        <v>1</v>
      </c>
      <c r="B2" s="30" t="s">
        <v>204</v>
      </c>
      <c r="C2" s="29" t="s">
        <v>17</v>
      </c>
      <c r="D2" s="81" t="s">
        <v>21</v>
      </c>
      <c r="E2" s="29" t="s">
        <v>14</v>
      </c>
      <c r="F2" s="29" t="s">
        <v>14</v>
      </c>
      <c r="G2" s="82">
        <v>0.75</v>
      </c>
      <c r="H2" s="30" t="s">
        <v>205</v>
      </c>
      <c r="I2" s="30" t="s">
        <v>1013</v>
      </c>
      <c r="J2" s="30" t="s">
        <v>1014</v>
      </c>
      <c r="K2" s="30" t="s">
        <v>206</v>
      </c>
      <c r="L2" s="30" t="s">
        <v>1015</v>
      </c>
      <c r="M2" s="30" t="s">
        <v>1016</v>
      </c>
      <c r="N2" s="30" t="s">
        <v>1017</v>
      </c>
    </row>
    <row r="3" spans="1:14" ht="43.5">
      <c r="A3" s="29">
        <v>2</v>
      </c>
      <c r="B3" s="30" t="s">
        <v>207</v>
      </c>
      <c r="C3" s="29" t="s">
        <v>17</v>
      </c>
      <c r="D3" s="81" t="s">
        <v>21</v>
      </c>
      <c r="E3" s="29" t="s">
        <v>14</v>
      </c>
      <c r="F3" s="29" t="s">
        <v>208</v>
      </c>
      <c r="G3" s="82">
        <v>0.74</v>
      </c>
      <c r="H3" s="30" t="s">
        <v>209</v>
      </c>
      <c r="I3" s="30" t="s">
        <v>1018</v>
      </c>
      <c r="J3" s="30" t="s">
        <v>1019</v>
      </c>
      <c r="K3" s="30" t="s">
        <v>206</v>
      </c>
      <c r="L3" s="30" t="s">
        <v>1020</v>
      </c>
      <c r="M3" s="30" t="s">
        <v>1021</v>
      </c>
      <c r="N3" s="30" t="s">
        <v>1022</v>
      </c>
    </row>
    <row r="4" spans="1:14" ht="43.5">
      <c r="A4" s="29">
        <v>3</v>
      </c>
      <c r="B4" s="30" t="s">
        <v>210</v>
      </c>
      <c r="C4" s="29" t="s">
        <v>17</v>
      </c>
      <c r="D4" s="81" t="s">
        <v>21</v>
      </c>
      <c r="E4" s="29" t="s">
        <v>14</v>
      </c>
      <c r="F4" s="29" t="s">
        <v>14</v>
      </c>
      <c r="G4" s="82">
        <v>0.13</v>
      </c>
      <c r="H4" s="30" t="s">
        <v>211</v>
      </c>
      <c r="I4" s="30" t="s">
        <v>525</v>
      </c>
      <c r="J4" s="30" t="s">
        <v>526</v>
      </c>
      <c r="K4" s="30" t="s">
        <v>212</v>
      </c>
      <c r="L4" s="30" t="s">
        <v>527</v>
      </c>
      <c r="M4" s="30" t="s">
        <v>528</v>
      </c>
      <c r="N4" s="30" t="s">
        <v>529</v>
      </c>
    </row>
    <row r="5" spans="1:14" ht="58">
      <c r="A5" s="29">
        <v>4</v>
      </c>
      <c r="B5" s="30" t="s">
        <v>213</v>
      </c>
      <c r="C5" s="29" t="s">
        <v>17</v>
      </c>
      <c r="D5" s="81" t="s">
        <v>21</v>
      </c>
      <c r="E5" s="29" t="s">
        <v>14</v>
      </c>
      <c r="F5" s="29" t="s">
        <v>214</v>
      </c>
      <c r="G5" s="82">
        <v>0.55000000000000004</v>
      </c>
      <c r="H5" s="30" t="s">
        <v>215</v>
      </c>
      <c r="I5" s="30" t="s">
        <v>530</v>
      </c>
      <c r="J5" s="30" t="s">
        <v>531</v>
      </c>
      <c r="K5" s="30" t="s">
        <v>206</v>
      </c>
      <c r="L5" s="30" t="s">
        <v>216</v>
      </c>
      <c r="M5" s="30" t="s">
        <v>532</v>
      </c>
      <c r="N5" s="30" t="s">
        <v>533</v>
      </c>
    </row>
    <row r="6" spans="1:14" ht="72.5">
      <c r="A6" s="29">
        <v>5</v>
      </c>
      <c r="B6" s="30" t="s">
        <v>217</v>
      </c>
      <c r="C6" s="29" t="s">
        <v>17</v>
      </c>
      <c r="D6" s="81" t="s">
        <v>21</v>
      </c>
      <c r="E6" s="29" t="s">
        <v>14</v>
      </c>
      <c r="F6" s="29" t="s">
        <v>218</v>
      </c>
      <c r="G6" s="82">
        <v>0.8</v>
      </c>
      <c r="H6" s="30" t="s">
        <v>219</v>
      </c>
      <c r="I6" s="30" t="s">
        <v>1023</v>
      </c>
      <c r="J6" s="30" t="s">
        <v>1024</v>
      </c>
      <c r="K6" s="30" t="s">
        <v>212</v>
      </c>
      <c r="L6" s="30" t="s">
        <v>1025</v>
      </c>
      <c r="M6" s="30" t="s">
        <v>1026</v>
      </c>
      <c r="N6" s="30" t="s">
        <v>1027</v>
      </c>
    </row>
    <row r="7" spans="1:14" ht="29">
      <c r="A7" s="29">
        <v>6</v>
      </c>
      <c r="B7" s="30" t="s">
        <v>220</v>
      </c>
      <c r="C7" s="29" t="s">
        <v>17</v>
      </c>
      <c r="D7" s="81" t="s">
        <v>21</v>
      </c>
      <c r="E7" s="29" t="s">
        <v>14</v>
      </c>
      <c r="F7" s="29" t="s">
        <v>221</v>
      </c>
      <c r="G7" s="82">
        <v>0.5</v>
      </c>
      <c r="H7" s="30" t="s">
        <v>222</v>
      </c>
      <c r="I7" s="30" t="s">
        <v>223</v>
      </c>
      <c r="J7" s="30" t="s">
        <v>224</v>
      </c>
      <c r="K7" s="30" t="s">
        <v>206</v>
      </c>
      <c r="L7" s="30" t="s">
        <v>225</v>
      </c>
      <c r="M7" s="30" t="s">
        <v>226</v>
      </c>
      <c r="N7" s="30" t="s">
        <v>227</v>
      </c>
    </row>
    <row r="8" spans="1:14" ht="29">
      <c r="A8" s="29">
        <v>7</v>
      </c>
      <c r="B8" s="30" t="s">
        <v>228</v>
      </c>
      <c r="C8" s="29" t="s">
        <v>17</v>
      </c>
      <c r="D8" s="81" t="s">
        <v>21</v>
      </c>
      <c r="E8" s="29" t="s">
        <v>14</v>
      </c>
      <c r="F8" s="29" t="s">
        <v>14</v>
      </c>
      <c r="G8" s="82">
        <v>0.8</v>
      </c>
      <c r="H8" s="30" t="s">
        <v>229</v>
      </c>
      <c r="I8" s="30" t="s">
        <v>230</v>
      </c>
      <c r="J8" s="30" t="s">
        <v>231</v>
      </c>
      <c r="K8" s="30" t="s">
        <v>212</v>
      </c>
      <c r="L8" s="30" t="s">
        <v>232</v>
      </c>
      <c r="M8" s="30" t="s">
        <v>233</v>
      </c>
      <c r="N8" s="30" t="s">
        <v>234</v>
      </c>
    </row>
    <row r="9" spans="1:14" ht="72.5">
      <c r="A9" s="29">
        <v>8</v>
      </c>
      <c r="B9" s="30" t="s">
        <v>1028</v>
      </c>
      <c r="C9" s="29" t="s">
        <v>17</v>
      </c>
      <c r="D9" s="81" t="s">
        <v>21</v>
      </c>
      <c r="E9" s="29" t="s">
        <v>14</v>
      </c>
      <c r="F9" s="29" t="s">
        <v>14</v>
      </c>
      <c r="G9" s="82">
        <v>0.3</v>
      </c>
      <c r="H9" s="30" t="s">
        <v>1029</v>
      </c>
      <c r="I9" s="30" t="s">
        <v>1030</v>
      </c>
      <c r="J9" s="30" t="s">
        <v>1031</v>
      </c>
      <c r="K9" s="30" t="s">
        <v>206</v>
      </c>
      <c r="L9" s="30" t="s">
        <v>1032</v>
      </c>
      <c r="M9" s="30" t="s">
        <v>1033</v>
      </c>
      <c r="N9" s="30" t="s">
        <v>1034</v>
      </c>
    </row>
    <row r="10" spans="1:14" ht="87">
      <c r="A10" s="29">
        <v>9</v>
      </c>
      <c r="B10" s="30" t="s">
        <v>1035</v>
      </c>
      <c r="C10" s="29" t="s">
        <v>17</v>
      </c>
      <c r="D10" s="81" t="s">
        <v>21</v>
      </c>
      <c r="E10" s="29" t="s">
        <v>14</v>
      </c>
      <c r="F10" s="29" t="s">
        <v>14</v>
      </c>
      <c r="G10" s="82">
        <v>0.2</v>
      </c>
      <c r="H10" s="30" t="s">
        <v>1036</v>
      </c>
      <c r="I10" s="30" t="s">
        <v>1037</v>
      </c>
      <c r="J10" s="30" t="s">
        <v>1038</v>
      </c>
      <c r="K10" s="30" t="s">
        <v>212</v>
      </c>
      <c r="L10" s="30" t="s">
        <v>1039</v>
      </c>
      <c r="M10" s="30" t="s">
        <v>1040</v>
      </c>
      <c r="N10" s="30" t="s">
        <v>1041</v>
      </c>
    </row>
    <row r="11" spans="1:14">
      <c r="A11" s="31"/>
      <c r="B11" s="31"/>
      <c r="C11" s="31"/>
      <c r="D11" s="31"/>
      <c r="E11" s="31"/>
      <c r="F11" s="31"/>
      <c r="G11" s="32"/>
      <c r="H11" s="31"/>
      <c r="I11" s="31"/>
      <c r="J11" s="31"/>
      <c r="K11" s="31"/>
      <c r="L11" s="31"/>
      <c r="M11" s="31"/>
      <c r="N11" s="31"/>
    </row>
    <row r="15" spans="1:14">
      <c r="G15" s="120"/>
    </row>
  </sheetData>
  <conditionalFormatting sqref="C2:C10">
    <cfRule type="containsText" dxfId="32" priority="2" operator="containsText" text="Completed"/>
    <cfRule type="containsText" dxfId="31" priority="3" operator="containsText" text="In Progress"/>
    <cfRule type="containsText" dxfId="30" priority="4" operator="containsText" text="At Risk"/>
    <cfRule type="containsText" dxfId="29"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2" activePane="bottomLeft" state="frozen"/>
      <selection pane="bottomLeft" activeCell="B3" sqref="B3"/>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767</v>
      </c>
      <c r="G1" s="3" t="s">
        <v>5</v>
      </c>
      <c r="H1" s="3" t="s">
        <v>6</v>
      </c>
      <c r="I1" s="3" t="s">
        <v>7</v>
      </c>
      <c r="J1" s="3" t="s">
        <v>8</v>
      </c>
      <c r="K1" s="3" t="s">
        <v>9</v>
      </c>
      <c r="L1" s="3" t="s">
        <v>10</v>
      </c>
      <c r="M1" s="3" t="s">
        <v>11</v>
      </c>
      <c r="N1" s="3" t="s">
        <v>12</v>
      </c>
    </row>
    <row r="2" spans="1:14" ht="26.5" customHeight="1">
      <c r="A2" s="33">
        <v>1</v>
      </c>
      <c r="B2" s="34" t="s">
        <v>235</v>
      </c>
      <c r="C2" s="33" t="s">
        <v>534</v>
      </c>
      <c r="D2" s="125" t="s">
        <v>21</v>
      </c>
      <c r="E2" s="35" t="s">
        <v>14</v>
      </c>
      <c r="F2" s="36" t="s">
        <v>14</v>
      </c>
      <c r="G2" s="126">
        <v>0.9</v>
      </c>
      <c r="H2" s="34" t="s">
        <v>535</v>
      </c>
      <c r="I2" s="34" t="s">
        <v>536</v>
      </c>
      <c r="J2" s="34" t="s">
        <v>537</v>
      </c>
      <c r="K2" s="34" t="s">
        <v>538</v>
      </c>
      <c r="L2" s="34" t="s">
        <v>539</v>
      </c>
      <c r="M2" s="34" t="s">
        <v>540</v>
      </c>
      <c r="N2" s="127" t="s">
        <v>541</v>
      </c>
    </row>
    <row r="3" spans="1:14" ht="116">
      <c r="A3" s="37">
        <v>2</v>
      </c>
      <c r="B3" s="38" t="s">
        <v>236</v>
      </c>
      <c r="C3" s="37" t="s">
        <v>237</v>
      </c>
      <c r="D3" s="125" t="s">
        <v>21</v>
      </c>
      <c r="E3" s="39" t="s">
        <v>14</v>
      </c>
      <c r="F3" s="36" t="s">
        <v>14</v>
      </c>
      <c r="G3" s="128">
        <v>0.9</v>
      </c>
      <c r="H3" s="38" t="s">
        <v>238</v>
      </c>
      <c r="I3" s="38" t="s">
        <v>239</v>
      </c>
      <c r="J3" s="38" t="s">
        <v>240</v>
      </c>
      <c r="K3" s="38" t="s">
        <v>241</v>
      </c>
      <c r="L3" s="38" t="s">
        <v>242</v>
      </c>
      <c r="M3" s="38" t="s">
        <v>243</v>
      </c>
      <c r="N3" s="129" t="s">
        <v>244</v>
      </c>
    </row>
    <row r="4" spans="1:14" ht="108" customHeight="1">
      <c r="A4" s="37">
        <v>3</v>
      </c>
      <c r="B4" s="38" t="s">
        <v>245</v>
      </c>
      <c r="C4" s="37" t="s">
        <v>1095</v>
      </c>
      <c r="D4" s="130" t="s">
        <v>13</v>
      </c>
      <c r="E4" s="39">
        <v>46303</v>
      </c>
      <c r="F4" s="40" t="s">
        <v>1096</v>
      </c>
      <c r="G4" s="128">
        <v>0.75</v>
      </c>
      <c r="H4" s="38" t="s">
        <v>1097</v>
      </c>
      <c r="I4" s="38" t="s">
        <v>1098</v>
      </c>
      <c r="J4" s="38" t="s">
        <v>1099</v>
      </c>
      <c r="K4" s="38" t="s">
        <v>1100</v>
      </c>
      <c r="L4" s="38" t="s">
        <v>1101</v>
      </c>
      <c r="M4" s="38" t="s">
        <v>1102</v>
      </c>
      <c r="N4" s="131" t="s">
        <v>1103</v>
      </c>
    </row>
    <row r="5" spans="1:14" ht="116" customHeight="1">
      <c r="A5" s="37">
        <v>4</v>
      </c>
      <c r="B5" s="38" t="s">
        <v>246</v>
      </c>
      <c r="C5" s="37" t="s">
        <v>1104</v>
      </c>
      <c r="D5" s="132" t="s">
        <v>501</v>
      </c>
      <c r="E5" s="39">
        <v>46240</v>
      </c>
      <c r="F5" s="40" t="s">
        <v>1105</v>
      </c>
      <c r="G5" s="128">
        <v>0.4</v>
      </c>
      <c r="H5" s="38" t="s">
        <v>1106</v>
      </c>
      <c r="I5" s="38" t="s">
        <v>1107</v>
      </c>
      <c r="J5" s="38" t="s">
        <v>1108</v>
      </c>
      <c r="K5" s="38" t="s">
        <v>1109</v>
      </c>
      <c r="L5" s="38" t="s">
        <v>1110</v>
      </c>
      <c r="M5" s="38" t="s">
        <v>1111</v>
      </c>
      <c r="N5" s="129" t="s">
        <v>1112</v>
      </c>
    </row>
    <row r="6" spans="1:14" ht="174">
      <c r="A6" s="37">
        <v>5</v>
      </c>
      <c r="B6" s="38" t="s">
        <v>247</v>
      </c>
      <c r="C6" s="37" t="s">
        <v>1113</v>
      </c>
      <c r="D6" s="133" t="s">
        <v>13</v>
      </c>
      <c r="E6" s="39" t="s">
        <v>509</v>
      </c>
      <c r="F6" s="40" t="s">
        <v>1114</v>
      </c>
      <c r="G6" s="128">
        <v>0.7</v>
      </c>
      <c r="H6" s="38" t="s">
        <v>1115</v>
      </c>
      <c r="I6" s="38" t="s">
        <v>1116</v>
      </c>
      <c r="J6" s="38" t="s">
        <v>1117</v>
      </c>
      <c r="K6" s="38" t="s">
        <v>1118</v>
      </c>
      <c r="L6" s="38" t="s">
        <v>1119</v>
      </c>
      <c r="M6" s="38" t="s">
        <v>1120</v>
      </c>
      <c r="N6" s="131" t="s">
        <v>1121</v>
      </c>
    </row>
    <row r="7" spans="1:14" ht="72.5">
      <c r="A7" s="37">
        <v>6</v>
      </c>
      <c r="B7" s="38" t="s">
        <v>249</v>
      </c>
      <c r="C7" s="37" t="s">
        <v>70</v>
      </c>
      <c r="D7" s="125" t="s">
        <v>21</v>
      </c>
      <c r="E7" s="39">
        <v>46234</v>
      </c>
      <c r="F7" s="40" t="s">
        <v>560</v>
      </c>
      <c r="G7" s="128">
        <v>1</v>
      </c>
      <c r="H7" s="38" t="s">
        <v>250</v>
      </c>
      <c r="I7" s="38" t="s">
        <v>251</v>
      </c>
      <c r="J7" s="38" t="s">
        <v>252</v>
      </c>
      <c r="K7" s="38" t="s">
        <v>253</v>
      </c>
      <c r="L7" s="38" t="s">
        <v>254</v>
      </c>
      <c r="M7" s="38" t="s">
        <v>255</v>
      </c>
      <c r="N7" s="129" t="s">
        <v>248</v>
      </c>
    </row>
    <row r="8" spans="1:14" ht="116">
      <c r="A8" s="2">
        <v>7</v>
      </c>
      <c r="B8" s="38" t="s">
        <v>256</v>
      </c>
      <c r="C8" s="37" t="s">
        <v>1122</v>
      </c>
      <c r="D8" s="125" t="s">
        <v>21</v>
      </c>
      <c r="E8" s="39">
        <v>46188</v>
      </c>
      <c r="F8" s="40" t="s">
        <v>1123</v>
      </c>
      <c r="G8" s="128">
        <v>0.8</v>
      </c>
      <c r="H8" s="38" t="s">
        <v>1124</v>
      </c>
      <c r="I8" s="38" t="s">
        <v>1125</v>
      </c>
      <c r="J8" s="38" t="s">
        <v>1126</v>
      </c>
      <c r="K8" s="38" t="s">
        <v>1127</v>
      </c>
      <c r="L8" s="38" t="s">
        <v>1128</v>
      </c>
      <c r="M8" s="38" t="s">
        <v>1129</v>
      </c>
      <c r="N8" s="131" t="s">
        <v>1130</v>
      </c>
    </row>
    <row r="9" spans="1:14" ht="188.5">
      <c r="A9" s="37">
        <v>8</v>
      </c>
      <c r="B9" s="38" t="s">
        <v>542</v>
      </c>
      <c r="C9" s="37" t="s">
        <v>1131</v>
      </c>
      <c r="D9" s="133" t="s">
        <v>13</v>
      </c>
      <c r="E9" s="39" t="s">
        <v>543</v>
      </c>
      <c r="F9" s="40" t="s">
        <v>1132</v>
      </c>
      <c r="G9" s="128">
        <v>0.7</v>
      </c>
      <c r="H9" s="38" t="s">
        <v>1133</v>
      </c>
      <c r="I9" s="38" t="s">
        <v>1134</v>
      </c>
      <c r="J9" s="38" t="s">
        <v>1135</v>
      </c>
      <c r="K9" s="38" t="s">
        <v>1136</v>
      </c>
      <c r="L9" s="38" t="s">
        <v>1137</v>
      </c>
      <c r="M9" s="38" t="s">
        <v>1138</v>
      </c>
      <c r="N9" s="134" t="s">
        <v>1139</v>
      </c>
    </row>
  </sheetData>
  <conditionalFormatting sqref="C2">
    <cfRule type="containsText" dxfId="28" priority="5" operator="containsText" text="Completed"/>
    <cfRule type="containsText" dxfId="27" priority="6" operator="containsText" text="In Progress"/>
    <cfRule type="containsText" dxfId="26" priority="7" operator="containsText" text="At Risk"/>
    <cfRule type="containsText" dxfId="25" priority="8" operator="containsText" text="Not Started"/>
  </conditionalFormatting>
  <conditionalFormatting sqref="C2:C8">
    <cfRule type="containsText" dxfId="24" priority="11" operator="containsText" text="At Risk"/>
    <cfRule type="containsText" dxfId="23" priority="12" operator="containsText" text="Yellow"/>
    <cfRule type="containsText" dxfId="22" priority="13" operator="containsText" text="Validation Pending"/>
  </conditionalFormatting>
  <conditionalFormatting sqref="D2:D8">
    <cfRule type="containsText" dxfId="21" priority="1" operator="containsText" text="At Risk"/>
    <cfRule type="containsText" dxfId="20" priority="2" operator="containsText" text="Amber"/>
    <cfRule type="containsText" dxfId="19"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6">
      <dataBar>
        <cfvo type="min"/>
        <cfvo type="max"/>
        <color rgb="FF5B9BD5"/>
      </dataBar>
    </cfRule>
    <cfRule type="dataBar" priority="14">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extLst>
        <ext xmlns:x14="http://schemas.microsoft.com/office/spreadsheetml/2009/9/main" uri="{B025F937-C7B1-47D3-B67F-A62EFF666E3E}">
          <x14:id>{36B299EA-A129-4A20-942C-5E5F0C426099}</x14:id>
        </ext>
      </extLst>
    </cfRule>
  </conditionalFormatting>
  <conditionalFormatting sqref="F2:F8">
    <cfRule type="dataBar" priority="25">
      <dataBar>
        <cfvo type="min"/>
        <cfvo type="max"/>
        <color rgb="FF5B9BD5"/>
      </dataBar>
    </cfRule>
    <cfRule type="dataBar" priority="19">
      <dataBar>
        <cfvo type="min"/>
        <cfvo type="max"/>
        <color rgb="FF5B9BD5"/>
      </dataBar>
    </cfRule>
    <cfRule type="dataBar" priority="27">
      <dataBar>
        <cfvo type="min"/>
        <cfvo type="max"/>
        <color rgb="FF5B9BD5"/>
      </dataBar>
    </cfRule>
    <cfRule type="dataBar" priority="10">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5">
      <dataBar>
        <cfvo type="min"/>
        <cfvo type="max"/>
        <color rgb="FF5B9BD5"/>
      </dataBar>
    </cfRule>
    <cfRule type="dataBar" priority="33">
      <dataBar>
        <cfvo type="min"/>
        <cfvo type="max"/>
        <color rgb="FF5B9BD5"/>
      </dataBar>
    </cfRule>
    <cfRule type="dataBar" priority="23">
      <dataBar>
        <cfvo type="min"/>
        <cfvo type="max"/>
        <color rgb="FF5B9BD5"/>
      </dataBar>
    </cfRule>
    <cfRule type="dataBar" priority="35">
      <dataBar>
        <cfvo type="min"/>
        <cfvo type="max"/>
        <color rgb="FF5B9BD5"/>
      </dataBar>
    </cfRule>
    <cfRule type="dataBar" priority="17">
      <dataBar>
        <cfvo type="min"/>
        <cfvo type="max"/>
        <color rgb="FF5B9BD5"/>
      </dataBar>
    </cfRule>
    <cfRule type="dataBar" priority="37">
      <dataBar>
        <cfvo type="min"/>
        <cfvo type="max"/>
        <color rgb="FF5B9BD5"/>
      </dataBar>
      <extLst>
        <ext xmlns:x14="http://schemas.microsoft.com/office/spreadsheetml/2009/9/main" uri="{B025F937-C7B1-47D3-B67F-A62EFF666E3E}">
          <x14:id>{C69459C1-14AF-4B44-8C27-A071FB650A14}</x14:id>
        </ext>
      </extLst>
    </cfRule>
  </conditionalFormatting>
  <dataValidations count="4">
    <dataValidation type="list" sqref="C2" xr:uid="{914CA4B4-549C-4C5D-9CF9-A30133A04B29}">
      <formula1>"Not Started,Pending,In Progress,Ongoing,At Risk,On Hold,Completed,Roadmap,Readiness,Evaluation"</formula1>
    </dataValidation>
    <dataValidation type="decimal" sqref="F2:F7" xr:uid="{1937E6EC-D99C-43E2-AB94-8820B2930943}">
      <formula1>0</formula1>
      <formula2>1</formula2>
    </dataValidation>
    <dataValidation type="list" sqref="C2:C5" xr:uid="{98FCC9CF-EEC3-45F6-BD70-EA51B28EED41}">
      <formula1>"Not Started,In Progress,At Risk / In Progress,At Risk / Support Needed,Validation Pending,Yellow – Testing Progressing,On Hold,Completed"</formula1>
    </dataValidation>
    <dataValidation type="list" sqref="D2:D8" xr:uid="{DA054B18-879A-4056-8D1F-A04F853AD9D6}">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6B299EA-A129-4A20-942C-5E5F0C426099}">
            <x14:dataBar>
              <x14:cfvo type="min"/>
              <x14:cfvo type="max"/>
              <x14:negativeFillColor auto="1"/>
              <x14:axisColor auto="1"/>
            </x14:dataBar>
          </x14:cfRule>
          <xm:sqref>F2:F3</xm:sqref>
        </x14:conditionalFormatting>
        <x14:conditionalFormatting xmlns:xm="http://schemas.microsoft.com/office/excel/2006/main">
          <x14:cfRule type="dataBar" id="{C69459C1-14AF-4B44-8C27-A071FB650A14}">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15" customHeight="1">
      <c r="A2" s="7">
        <v>1</v>
      </c>
      <c r="B2" s="8" t="s">
        <v>257</v>
      </c>
      <c r="C2" s="7" t="s">
        <v>17</v>
      </c>
      <c r="D2" s="83" t="s">
        <v>13</v>
      </c>
      <c r="E2" s="9" t="s">
        <v>14</v>
      </c>
      <c r="F2" s="9" t="s">
        <v>14</v>
      </c>
      <c r="G2" s="23">
        <v>0.6</v>
      </c>
      <c r="H2" s="8" t="s">
        <v>258</v>
      </c>
      <c r="I2" s="8" t="s">
        <v>259</v>
      </c>
      <c r="J2" s="8" t="s">
        <v>260</v>
      </c>
      <c r="K2" s="8" t="s">
        <v>1157</v>
      </c>
      <c r="L2" s="8" t="s">
        <v>261</v>
      </c>
      <c r="M2" s="8" t="s">
        <v>262</v>
      </c>
      <c r="N2" s="4" t="s">
        <v>15</v>
      </c>
    </row>
    <row r="3" spans="1:14" ht="160" customHeight="1">
      <c r="A3" s="84">
        <v>2</v>
      </c>
      <c r="B3" s="85" t="s">
        <v>768</v>
      </c>
      <c r="C3" s="98" t="s">
        <v>769</v>
      </c>
      <c r="D3" s="99" t="s">
        <v>501</v>
      </c>
      <c r="E3" s="87">
        <v>46237</v>
      </c>
      <c r="F3" s="87" t="s">
        <v>502</v>
      </c>
      <c r="G3" s="88">
        <v>0.6</v>
      </c>
      <c r="H3" s="85" t="s">
        <v>770</v>
      </c>
      <c r="I3" s="85" t="s">
        <v>1158</v>
      </c>
      <c r="J3" s="85" t="s">
        <v>771</v>
      </c>
      <c r="K3" s="85" t="s">
        <v>772</v>
      </c>
      <c r="L3" s="85" t="s">
        <v>773</v>
      </c>
      <c r="M3" s="85" t="s">
        <v>774</v>
      </c>
      <c r="N3" s="85" t="s">
        <v>775</v>
      </c>
    </row>
    <row r="4" spans="1:14" ht="160" customHeight="1">
      <c r="A4" s="50">
        <v>3</v>
      </c>
      <c r="B4" s="51" t="s">
        <v>776</v>
      </c>
      <c r="C4" s="52" t="s">
        <v>662</v>
      </c>
      <c r="D4" s="89" t="s">
        <v>13</v>
      </c>
      <c r="E4" s="53">
        <v>46043</v>
      </c>
      <c r="F4" s="53">
        <v>46407</v>
      </c>
      <c r="G4" s="100">
        <v>0.65</v>
      </c>
      <c r="H4" s="51" t="s">
        <v>663</v>
      </c>
      <c r="I4" s="51" t="s">
        <v>664</v>
      </c>
      <c r="J4" s="51" t="s">
        <v>665</v>
      </c>
      <c r="K4" s="51" t="s">
        <v>1159</v>
      </c>
      <c r="L4" s="51" t="s">
        <v>666</v>
      </c>
      <c r="M4" s="51" t="s">
        <v>667</v>
      </c>
      <c r="N4" s="56" t="s">
        <v>668</v>
      </c>
    </row>
    <row r="5" spans="1:14" ht="160" customHeight="1">
      <c r="A5" s="50">
        <v>4</v>
      </c>
      <c r="B5" s="51" t="s">
        <v>777</v>
      </c>
      <c r="C5" s="101" t="s">
        <v>778</v>
      </c>
      <c r="D5" s="89" t="s">
        <v>13</v>
      </c>
      <c r="E5" s="53">
        <v>46267</v>
      </c>
      <c r="F5" s="53" t="s">
        <v>669</v>
      </c>
      <c r="G5" s="100">
        <v>0.9</v>
      </c>
      <c r="H5" s="51" t="s">
        <v>779</v>
      </c>
      <c r="I5" s="51" t="s">
        <v>780</v>
      </c>
      <c r="J5" s="51" t="s">
        <v>781</v>
      </c>
      <c r="K5" s="51" t="s">
        <v>782</v>
      </c>
      <c r="L5" s="51" t="s">
        <v>783</v>
      </c>
      <c r="M5" s="51" t="s">
        <v>784</v>
      </c>
      <c r="N5" s="56" t="s">
        <v>775</v>
      </c>
    </row>
    <row r="6" spans="1:14" ht="160" customHeight="1">
      <c r="A6" s="50">
        <v>5</v>
      </c>
      <c r="B6" s="51" t="s">
        <v>263</v>
      </c>
      <c r="C6" s="101" t="s">
        <v>785</v>
      </c>
      <c r="D6" s="99" t="s">
        <v>501</v>
      </c>
      <c r="E6" s="53">
        <v>46267</v>
      </c>
      <c r="F6" s="53" t="s">
        <v>670</v>
      </c>
      <c r="G6" s="100">
        <v>0.6</v>
      </c>
      <c r="H6" s="51" t="s">
        <v>786</v>
      </c>
      <c r="I6" s="51" t="s">
        <v>787</v>
      </c>
      <c r="J6" s="51" t="s">
        <v>788</v>
      </c>
      <c r="K6" s="51" t="s">
        <v>789</v>
      </c>
      <c r="L6" s="51" t="s">
        <v>790</v>
      </c>
      <c r="M6" s="51" t="s">
        <v>791</v>
      </c>
      <c r="N6" s="56" t="s">
        <v>775</v>
      </c>
    </row>
    <row r="7" spans="1:14" ht="15" customHeight="1">
      <c r="A7" s="7">
        <v>6</v>
      </c>
      <c r="B7" s="8" t="s">
        <v>264</v>
      </c>
      <c r="C7" s="7" t="s">
        <v>265</v>
      </c>
      <c r="D7" s="90" t="s">
        <v>13</v>
      </c>
      <c r="E7" s="91">
        <v>46237</v>
      </c>
      <c r="F7" s="91" t="s">
        <v>14</v>
      </c>
      <c r="G7" s="23">
        <v>0.75</v>
      </c>
      <c r="H7" s="8" t="s">
        <v>266</v>
      </c>
      <c r="I7" s="8" t="s">
        <v>267</v>
      </c>
      <c r="J7" s="8" t="s">
        <v>268</v>
      </c>
      <c r="K7" s="8" t="s">
        <v>1157</v>
      </c>
      <c r="L7" s="8" t="s">
        <v>269</v>
      </c>
      <c r="M7" s="8" t="s">
        <v>270</v>
      </c>
      <c r="N7" s="4" t="s">
        <v>15</v>
      </c>
    </row>
    <row r="8" spans="1:14" ht="160" customHeight="1">
      <c r="A8" s="50">
        <v>7</v>
      </c>
      <c r="B8" s="51" t="s">
        <v>271</v>
      </c>
      <c r="C8" s="52" t="s">
        <v>671</v>
      </c>
      <c r="D8" s="89" t="s">
        <v>13</v>
      </c>
      <c r="E8" s="53">
        <v>46266</v>
      </c>
      <c r="F8" s="53" t="s">
        <v>672</v>
      </c>
      <c r="G8" s="100">
        <v>0.48</v>
      </c>
      <c r="H8" s="51" t="s">
        <v>673</v>
      </c>
      <c r="I8" s="51" t="s">
        <v>674</v>
      </c>
      <c r="J8" s="51" t="s">
        <v>675</v>
      </c>
      <c r="K8" s="51" t="s">
        <v>676</v>
      </c>
      <c r="L8" s="51" t="s">
        <v>677</v>
      </c>
      <c r="M8" s="51" t="s">
        <v>678</v>
      </c>
      <c r="N8" s="56" t="s">
        <v>679</v>
      </c>
    </row>
    <row r="9" spans="1:14" ht="26.5" customHeight="1">
      <c r="A9" s="7">
        <v>8</v>
      </c>
      <c r="B9" s="8" t="s">
        <v>272</v>
      </c>
      <c r="C9" s="7" t="s">
        <v>273</v>
      </c>
      <c r="D9" s="90" t="s">
        <v>13</v>
      </c>
      <c r="E9" s="91">
        <v>46237</v>
      </c>
      <c r="F9" s="91" t="s">
        <v>14</v>
      </c>
      <c r="G9" s="23">
        <v>0.6</v>
      </c>
      <c r="H9" s="8" t="s">
        <v>274</v>
      </c>
      <c r="I9" s="8" t="s">
        <v>275</v>
      </c>
      <c r="J9" s="8" t="s">
        <v>276</v>
      </c>
      <c r="K9" s="8" t="s">
        <v>1157</v>
      </c>
      <c r="L9" s="8" t="s">
        <v>277</v>
      </c>
      <c r="M9" s="8" t="s">
        <v>278</v>
      </c>
      <c r="N9" s="4" t="s">
        <v>15</v>
      </c>
    </row>
    <row r="10" spans="1:14" ht="26.5" customHeight="1">
      <c r="A10" s="7">
        <v>9</v>
      </c>
      <c r="B10" s="8" t="s">
        <v>279</v>
      </c>
      <c r="C10" s="7" t="s">
        <v>280</v>
      </c>
      <c r="D10" s="90" t="s">
        <v>13</v>
      </c>
      <c r="E10" s="91">
        <v>46237</v>
      </c>
      <c r="F10" s="91" t="s">
        <v>14</v>
      </c>
      <c r="G10" s="23">
        <v>0.6</v>
      </c>
      <c r="H10" s="8" t="s">
        <v>281</v>
      </c>
      <c r="I10" s="8" t="s">
        <v>282</v>
      </c>
      <c r="J10" s="8" t="s">
        <v>283</v>
      </c>
      <c r="K10" s="8" t="s">
        <v>1157</v>
      </c>
      <c r="L10" s="8" t="s">
        <v>284</v>
      </c>
      <c r="M10" s="8" t="s">
        <v>285</v>
      </c>
      <c r="N10" s="4" t="s">
        <v>15</v>
      </c>
    </row>
    <row r="11" spans="1:14" ht="26.5" customHeight="1">
      <c r="A11" s="7">
        <v>10</v>
      </c>
      <c r="B11" s="8" t="s">
        <v>286</v>
      </c>
      <c r="C11" s="7" t="s">
        <v>287</v>
      </c>
      <c r="D11" s="90" t="s">
        <v>13</v>
      </c>
      <c r="E11" s="91">
        <v>46237</v>
      </c>
      <c r="F11" s="91" t="s">
        <v>14</v>
      </c>
      <c r="G11" s="23">
        <v>0.6</v>
      </c>
      <c r="H11" s="8" t="s">
        <v>288</v>
      </c>
      <c r="I11" s="8" t="s">
        <v>289</v>
      </c>
      <c r="J11" s="8" t="s">
        <v>290</v>
      </c>
      <c r="K11" s="8" t="s">
        <v>1157</v>
      </c>
      <c r="L11" s="8" t="s">
        <v>291</v>
      </c>
      <c r="M11" s="8" t="s">
        <v>292</v>
      </c>
      <c r="N11" s="4" t="s">
        <v>15</v>
      </c>
    </row>
    <row r="12" spans="1:14" ht="15" customHeight="1">
      <c r="A12" s="7">
        <v>11</v>
      </c>
      <c r="B12" s="8" t="s">
        <v>293</v>
      </c>
      <c r="C12" s="7" t="s">
        <v>294</v>
      </c>
      <c r="D12" s="90" t="s">
        <v>13</v>
      </c>
      <c r="E12" s="91">
        <v>46237</v>
      </c>
      <c r="F12" s="91" t="s">
        <v>14</v>
      </c>
      <c r="G12" s="23">
        <v>0.5</v>
      </c>
      <c r="H12" s="8" t="s">
        <v>295</v>
      </c>
      <c r="I12" s="8" t="s">
        <v>296</v>
      </c>
      <c r="J12" s="8" t="s">
        <v>297</v>
      </c>
      <c r="K12" s="8" t="s">
        <v>1157</v>
      </c>
      <c r="L12" s="8" t="s">
        <v>298</v>
      </c>
      <c r="M12" s="8" t="s">
        <v>299</v>
      </c>
      <c r="N12" s="4" t="s">
        <v>15</v>
      </c>
    </row>
    <row r="13" spans="1:14" ht="160" customHeight="1">
      <c r="A13" s="84">
        <v>12</v>
      </c>
      <c r="B13" s="92" t="s">
        <v>792</v>
      </c>
      <c r="C13" s="102" t="s">
        <v>793</v>
      </c>
      <c r="D13" s="90" t="s">
        <v>13</v>
      </c>
      <c r="E13" s="87">
        <v>46280</v>
      </c>
      <c r="F13" s="87" t="s">
        <v>680</v>
      </c>
      <c r="G13" s="88">
        <v>0.9</v>
      </c>
      <c r="H13" s="85" t="s">
        <v>794</v>
      </c>
      <c r="I13" s="85" t="s">
        <v>1160</v>
      </c>
      <c r="J13" s="85" t="s">
        <v>795</v>
      </c>
      <c r="K13" s="85" t="s">
        <v>772</v>
      </c>
      <c r="L13" s="85" t="s">
        <v>796</v>
      </c>
      <c r="M13" s="85" t="s">
        <v>797</v>
      </c>
      <c r="N13" s="85" t="s">
        <v>775</v>
      </c>
    </row>
    <row r="14" spans="1:14" ht="96" customHeight="1">
      <c r="A14" s="11">
        <v>13</v>
      </c>
      <c r="B14" s="12" t="s">
        <v>300</v>
      </c>
      <c r="C14" s="22" t="s">
        <v>301</v>
      </c>
      <c r="D14" s="103" t="s">
        <v>13</v>
      </c>
      <c r="E14" s="93" t="s">
        <v>302</v>
      </c>
      <c r="F14" s="93" t="s">
        <v>303</v>
      </c>
      <c r="G14" s="14">
        <v>0.75</v>
      </c>
      <c r="H14" s="12" t="s">
        <v>304</v>
      </c>
      <c r="I14" s="12" t="s">
        <v>798</v>
      </c>
      <c r="J14" s="12" t="s">
        <v>305</v>
      </c>
      <c r="K14" s="12" t="s">
        <v>306</v>
      </c>
      <c r="L14" s="12" t="s">
        <v>307</v>
      </c>
      <c r="M14" s="12" t="s">
        <v>308</v>
      </c>
      <c r="N14" s="12" t="s">
        <v>35</v>
      </c>
    </row>
    <row r="15" spans="1:14" ht="96" customHeight="1">
      <c r="A15" s="11">
        <v>14</v>
      </c>
      <c r="B15" s="12" t="s">
        <v>309</v>
      </c>
      <c r="C15" s="22" t="s">
        <v>310</v>
      </c>
      <c r="D15" s="103" t="s">
        <v>13</v>
      </c>
      <c r="E15" s="93" t="s">
        <v>14</v>
      </c>
      <c r="F15" s="93" t="s">
        <v>14</v>
      </c>
      <c r="G15" s="14">
        <v>0.7</v>
      </c>
      <c r="H15" s="12" t="s">
        <v>311</v>
      </c>
      <c r="I15" s="12" t="s">
        <v>503</v>
      </c>
      <c r="J15" s="12" t="s">
        <v>504</v>
      </c>
      <c r="K15" s="12" t="s">
        <v>1161</v>
      </c>
      <c r="L15" s="12" t="s">
        <v>505</v>
      </c>
      <c r="M15" s="12" t="s">
        <v>312</v>
      </c>
      <c r="N15" s="12" t="s">
        <v>506</v>
      </c>
    </row>
    <row r="16" spans="1:14" ht="160" customHeight="1">
      <c r="A16" s="46">
        <v>15</v>
      </c>
      <c r="B16" s="56" t="s">
        <v>313</v>
      </c>
      <c r="C16" s="86" t="s">
        <v>681</v>
      </c>
      <c r="D16" s="104" t="s">
        <v>13</v>
      </c>
      <c r="E16" s="94">
        <v>46283</v>
      </c>
      <c r="F16" s="94" t="s">
        <v>682</v>
      </c>
      <c r="G16" s="48">
        <v>0.65</v>
      </c>
      <c r="H16" s="56" t="s">
        <v>683</v>
      </c>
      <c r="I16" s="56" t="s">
        <v>684</v>
      </c>
      <c r="J16" s="56" t="s">
        <v>685</v>
      </c>
      <c r="K16" s="56" t="s">
        <v>1162</v>
      </c>
      <c r="L16" s="56" t="s">
        <v>686</v>
      </c>
      <c r="M16" s="56" t="s">
        <v>687</v>
      </c>
      <c r="N16" s="56" t="s">
        <v>688</v>
      </c>
    </row>
    <row r="17" spans="1:14" ht="160" customHeight="1">
      <c r="A17" s="56">
        <v>16</v>
      </c>
      <c r="B17" s="56" t="s">
        <v>507</v>
      </c>
      <c r="C17" s="86" t="s">
        <v>689</v>
      </c>
      <c r="D17" s="104" t="s">
        <v>13</v>
      </c>
      <c r="E17" s="95">
        <v>46286</v>
      </c>
      <c r="F17" s="95" t="s">
        <v>690</v>
      </c>
      <c r="G17" s="48">
        <v>0.75</v>
      </c>
      <c r="H17" s="56" t="s">
        <v>691</v>
      </c>
      <c r="I17" s="56" t="s">
        <v>692</v>
      </c>
      <c r="J17" s="56" t="s">
        <v>693</v>
      </c>
      <c r="K17" s="56" t="s">
        <v>508</v>
      </c>
      <c r="L17" s="56" t="s">
        <v>694</v>
      </c>
      <c r="M17" s="56" t="s">
        <v>695</v>
      </c>
      <c r="N17" s="56" t="s">
        <v>696</v>
      </c>
    </row>
  </sheetData>
  <conditionalFormatting sqref="B13">
    <cfRule type="containsText" dxfId="18" priority="1" operator="containsText" text="Completed"/>
    <cfRule type="containsText" dxfId="17" priority="2" operator="containsText" text="In Progress"/>
    <cfRule type="containsText" dxfId="16" priority="3" operator="containsText" text="At Risk"/>
    <cfRule type="containsText" dxfId="15" priority="4" operator="containsText" text="Not Started"/>
  </conditionalFormatting>
  <conditionalFormatting sqref="C2:C13">
    <cfRule type="containsText" dxfId="14" priority="6" operator="containsText" text="Completed"/>
    <cfRule type="containsText" dxfId="13" priority="7" operator="containsText" text="In Progress"/>
    <cfRule type="containsText" dxfId="12" priority="9" operator="containsText" text="Not Started"/>
  </conditionalFormatting>
  <conditionalFormatting sqref="C2:D13">
    <cfRule type="containsText" dxfId="11" priority="8" operator="containsText" text="At Risk"/>
  </conditionalFormatting>
  <conditionalFormatting sqref="D2:D13">
    <cfRule type="containsText" dxfId="10" priority="14" operator="containsText" text="Amber"/>
    <cfRule type="containsText" dxfId="9"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{05CDE29C-C43F-4911-9EFB-594DA12B0C61}</x14:id>
        </ext>
      </extLst>
    </cfRule>
  </conditionalFormatting>
  <dataValidations count="3">
    <dataValidation type="list" sqref="C2:C12" xr:uid="{F871B759-BCFF-44DA-A619-77AFCA13F825}">
      <formula1>"Not Started,Pending,In Progress,Ongoing,At Risk,On Hold,Completed,Roadmap,Readiness,Evaluation"</formula1>
    </dataValidation>
    <dataValidation type="decimal" sqref="F2:F12" xr:uid="{FED8113A-6DA4-4FE2-8F20-F1968C330AF1}">
      <formula1>0</formula1>
      <formula2>1</formula2>
    </dataValidation>
    <dataValidation type="list" sqref="D2:D13" xr:uid="{703EE55C-6EA5-4FE9-BD5C-2F4FFA566F4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CDE29C-C43F-4911-9EFB-594DA12B0C61}">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B2" sqref="B2"/>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5" t="s">
        <v>0</v>
      </c>
      <c r="B1" s="5" t="s">
        <v>1</v>
      </c>
      <c r="C1" s="5" t="s">
        <v>2</v>
      </c>
      <c r="D1" s="121" t="s">
        <v>3</v>
      </c>
      <c r="E1" s="5" t="s">
        <v>4</v>
      </c>
      <c r="F1" s="5" t="s">
        <v>767</v>
      </c>
      <c r="G1" s="5" t="s">
        <v>5</v>
      </c>
      <c r="H1" s="5" t="s">
        <v>6</v>
      </c>
      <c r="I1" s="5" t="s">
        <v>7</v>
      </c>
      <c r="J1" s="5" t="s">
        <v>8</v>
      </c>
      <c r="K1" s="5" t="s">
        <v>9</v>
      </c>
      <c r="L1" s="5" t="s">
        <v>10</v>
      </c>
      <c r="M1" s="5" t="s">
        <v>11</v>
      </c>
      <c r="N1" s="5" t="s">
        <v>12</v>
      </c>
    </row>
    <row r="2" spans="1:14" ht="78" customHeight="1">
      <c r="A2" s="18">
        <v>1</v>
      </c>
      <c r="B2" s="5" t="s">
        <v>314</v>
      </c>
      <c r="C2" s="96" t="s">
        <v>1042</v>
      </c>
      <c r="D2" s="122" t="s">
        <v>21</v>
      </c>
      <c r="E2" s="19">
        <v>46240</v>
      </c>
      <c r="F2" s="19" t="s">
        <v>14</v>
      </c>
      <c r="G2" s="20">
        <v>1</v>
      </c>
      <c r="H2" s="5" t="s">
        <v>315</v>
      </c>
      <c r="I2" s="5" t="s">
        <v>1043</v>
      </c>
      <c r="J2" s="5" t="s">
        <v>1044</v>
      </c>
      <c r="K2" s="5" t="s">
        <v>316</v>
      </c>
      <c r="L2" s="5" t="s">
        <v>1045</v>
      </c>
      <c r="M2" s="5" t="s">
        <v>1046</v>
      </c>
      <c r="N2" s="5" t="s">
        <v>1047</v>
      </c>
    </row>
    <row r="3" spans="1:14" ht="78" customHeight="1">
      <c r="A3" s="18">
        <v>2</v>
      </c>
      <c r="B3" s="5" t="s">
        <v>317</v>
      </c>
      <c r="C3" s="96" t="s">
        <v>1048</v>
      </c>
      <c r="D3" s="122" t="s">
        <v>21</v>
      </c>
      <c r="E3" s="19">
        <v>46240</v>
      </c>
      <c r="F3" s="19" t="s">
        <v>14</v>
      </c>
      <c r="G3" s="20">
        <v>1</v>
      </c>
      <c r="H3" s="5" t="s">
        <v>318</v>
      </c>
      <c r="I3" s="5" t="s">
        <v>1049</v>
      </c>
      <c r="J3" s="5" t="s">
        <v>1050</v>
      </c>
      <c r="K3" s="5" t="s">
        <v>319</v>
      </c>
      <c r="L3" s="5" t="s">
        <v>1051</v>
      </c>
      <c r="M3" s="5" t="s">
        <v>1052</v>
      </c>
      <c r="N3" s="5" t="s">
        <v>1053</v>
      </c>
    </row>
    <row r="4" spans="1:14" ht="78" customHeight="1">
      <c r="A4" s="18">
        <v>3</v>
      </c>
      <c r="B4" s="5" t="s">
        <v>320</v>
      </c>
      <c r="C4" s="96" t="s">
        <v>70</v>
      </c>
      <c r="D4" s="122" t="s">
        <v>21</v>
      </c>
      <c r="E4" s="19">
        <v>46240</v>
      </c>
      <c r="F4" s="19" t="s">
        <v>14</v>
      </c>
      <c r="G4" s="20">
        <v>1</v>
      </c>
      <c r="H4" s="5" t="s">
        <v>321</v>
      </c>
      <c r="I4" s="5" t="s">
        <v>322</v>
      </c>
      <c r="J4" s="5" t="s">
        <v>323</v>
      </c>
      <c r="K4" s="5" t="s">
        <v>324</v>
      </c>
      <c r="L4" s="5" t="s">
        <v>325</v>
      </c>
      <c r="M4" s="5" t="s">
        <v>326</v>
      </c>
      <c r="N4" s="5" t="s">
        <v>327</v>
      </c>
    </row>
    <row r="5" spans="1:14" ht="78" customHeight="1">
      <c r="A5" s="18">
        <v>4</v>
      </c>
      <c r="B5" s="5" t="s">
        <v>328</v>
      </c>
      <c r="C5" s="123" t="s">
        <v>1054</v>
      </c>
      <c r="D5" s="122" t="s">
        <v>21</v>
      </c>
      <c r="E5" s="19" t="s">
        <v>509</v>
      </c>
      <c r="F5" s="19" t="s">
        <v>510</v>
      </c>
      <c r="G5" s="20">
        <v>0.9</v>
      </c>
      <c r="H5" s="5" t="s">
        <v>511</v>
      </c>
      <c r="I5" s="5" t="s">
        <v>1055</v>
      </c>
      <c r="J5" s="5" t="s">
        <v>1056</v>
      </c>
      <c r="K5" s="5" t="s">
        <v>1057</v>
      </c>
      <c r="L5" s="5" t="s">
        <v>1058</v>
      </c>
      <c r="M5" s="5" t="s">
        <v>1059</v>
      </c>
      <c r="N5" s="5" t="s">
        <v>1060</v>
      </c>
    </row>
    <row r="6" spans="1:14" ht="96" customHeight="1">
      <c r="A6" s="11">
        <v>5</v>
      </c>
      <c r="B6" s="12" t="s">
        <v>329</v>
      </c>
      <c r="C6" s="12" t="s">
        <v>1061</v>
      </c>
      <c r="D6" s="122" t="s">
        <v>21</v>
      </c>
      <c r="E6" s="13" t="s">
        <v>330</v>
      </c>
      <c r="F6" s="13" t="s">
        <v>1062</v>
      </c>
      <c r="G6" s="14">
        <v>0.98347107438016534</v>
      </c>
      <c r="H6" s="12" t="s">
        <v>1063</v>
      </c>
      <c r="I6" s="12" t="s">
        <v>1064</v>
      </c>
      <c r="J6" s="12" t="s">
        <v>1065</v>
      </c>
      <c r="K6" s="12" t="s">
        <v>1066</v>
      </c>
      <c r="L6" s="12" t="s">
        <v>1067</v>
      </c>
      <c r="M6" s="12" t="s">
        <v>1068</v>
      </c>
      <c r="N6" s="12" t="s">
        <v>1069</v>
      </c>
    </row>
    <row r="7" spans="1:14" ht="78" customHeight="1">
      <c r="A7" s="18">
        <v>6</v>
      </c>
      <c r="B7" s="5" t="s">
        <v>331</v>
      </c>
      <c r="C7" s="96" t="s">
        <v>70</v>
      </c>
      <c r="D7" s="122" t="s">
        <v>21</v>
      </c>
      <c r="E7" s="19">
        <v>46240</v>
      </c>
      <c r="F7" s="19" t="s">
        <v>14</v>
      </c>
      <c r="G7" s="20">
        <v>1</v>
      </c>
      <c r="H7" s="5" t="s">
        <v>332</v>
      </c>
      <c r="I7" s="5" t="s">
        <v>333</v>
      </c>
      <c r="J7" s="5" t="s">
        <v>334</v>
      </c>
      <c r="K7" s="5" t="s">
        <v>335</v>
      </c>
      <c r="L7" s="5" t="s">
        <v>336</v>
      </c>
      <c r="M7" s="5" t="s">
        <v>337</v>
      </c>
      <c r="N7" s="5" t="s">
        <v>338</v>
      </c>
    </row>
    <row r="8" spans="1:14" ht="78" customHeight="1">
      <c r="A8" s="18">
        <v>7</v>
      </c>
      <c r="B8" s="5" t="s">
        <v>339</v>
      </c>
      <c r="C8" s="96" t="s">
        <v>70</v>
      </c>
      <c r="D8" s="122" t="s">
        <v>21</v>
      </c>
      <c r="E8" s="19">
        <v>46240</v>
      </c>
      <c r="F8" s="19" t="s">
        <v>14</v>
      </c>
      <c r="G8" s="20">
        <v>1</v>
      </c>
      <c r="H8" s="5" t="s">
        <v>340</v>
      </c>
      <c r="I8" s="5" t="s">
        <v>341</v>
      </c>
      <c r="J8" s="5" t="s">
        <v>342</v>
      </c>
      <c r="K8" s="5" t="s">
        <v>343</v>
      </c>
      <c r="L8" s="5" t="s">
        <v>344</v>
      </c>
      <c r="M8" s="5" t="s">
        <v>345</v>
      </c>
      <c r="N8" s="5" t="s">
        <v>346</v>
      </c>
    </row>
    <row r="9" spans="1:14" ht="78" customHeight="1">
      <c r="A9" s="18">
        <v>8</v>
      </c>
      <c r="B9" s="5" t="s">
        <v>347</v>
      </c>
      <c r="C9" s="96" t="s">
        <v>348</v>
      </c>
      <c r="D9" s="122" t="s">
        <v>21</v>
      </c>
      <c r="E9" s="19">
        <v>46265</v>
      </c>
      <c r="F9" s="19" t="s">
        <v>14</v>
      </c>
      <c r="G9" s="20">
        <v>0.9</v>
      </c>
      <c r="H9" s="5" t="s">
        <v>349</v>
      </c>
      <c r="I9" s="5" t="s">
        <v>350</v>
      </c>
      <c r="J9" s="5" t="s">
        <v>351</v>
      </c>
      <c r="K9" s="5" t="s">
        <v>352</v>
      </c>
      <c r="L9" s="5" t="s">
        <v>353</v>
      </c>
      <c r="M9" s="5" t="s">
        <v>354</v>
      </c>
      <c r="N9" s="5" t="s">
        <v>355</v>
      </c>
    </row>
    <row r="10" spans="1:14" ht="78" customHeight="1">
      <c r="A10" s="18">
        <v>9</v>
      </c>
      <c r="B10" s="5" t="s">
        <v>356</v>
      </c>
      <c r="C10" s="96" t="s">
        <v>357</v>
      </c>
      <c r="D10" s="122" t="s">
        <v>21</v>
      </c>
      <c r="E10" s="19">
        <v>46240</v>
      </c>
      <c r="F10" s="19">
        <v>46265</v>
      </c>
      <c r="G10" s="20">
        <v>1</v>
      </c>
      <c r="H10" s="5" t="s">
        <v>358</v>
      </c>
      <c r="I10" s="5" t="s">
        <v>359</v>
      </c>
      <c r="J10" s="5" t="s">
        <v>360</v>
      </c>
      <c r="K10" s="5" t="s">
        <v>361</v>
      </c>
      <c r="L10" s="5" t="s">
        <v>362</v>
      </c>
      <c r="M10" s="5" t="s">
        <v>363</v>
      </c>
      <c r="N10" s="5" t="s">
        <v>364</v>
      </c>
    </row>
    <row r="11" spans="1:14" ht="78" customHeight="1">
      <c r="A11" s="18">
        <v>10</v>
      </c>
      <c r="B11" s="5" t="s">
        <v>365</v>
      </c>
      <c r="C11" s="96" t="s">
        <v>1070</v>
      </c>
      <c r="D11" s="122" t="s">
        <v>21</v>
      </c>
      <c r="E11" s="19" t="s">
        <v>509</v>
      </c>
      <c r="F11" s="19" t="s">
        <v>512</v>
      </c>
      <c r="G11" s="20">
        <v>0.9</v>
      </c>
      <c r="H11" s="5" t="s">
        <v>513</v>
      </c>
      <c r="I11" s="5" t="s">
        <v>1071</v>
      </c>
      <c r="J11" s="5" t="s">
        <v>1072</v>
      </c>
      <c r="K11" s="5" t="s">
        <v>1073</v>
      </c>
      <c r="L11" s="5" t="s">
        <v>1074</v>
      </c>
      <c r="M11" s="5" t="s">
        <v>1075</v>
      </c>
      <c r="N11" s="5" t="s">
        <v>1076</v>
      </c>
    </row>
    <row r="12" spans="1:14" ht="78" customHeight="1">
      <c r="A12" s="18">
        <v>11</v>
      </c>
      <c r="B12" s="5" t="s">
        <v>366</v>
      </c>
      <c r="C12" s="96" t="s">
        <v>514</v>
      </c>
      <c r="D12" s="122" t="s">
        <v>21</v>
      </c>
      <c r="E12" s="19" t="s">
        <v>509</v>
      </c>
      <c r="F12" s="19" t="s">
        <v>515</v>
      </c>
      <c r="G12" s="20">
        <v>0.8</v>
      </c>
      <c r="H12" s="5" t="s">
        <v>516</v>
      </c>
      <c r="I12" s="5" t="s">
        <v>517</v>
      </c>
      <c r="J12" s="5" t="s">
        <v>518</v>
      </c>
      <c r="K12" s="5" t="s">
        <v>519</v>
      </c>
      <c r="L12" s="5" t="s">
        <v>520</v>
      </c>
      <c r="M12" s="5" t="s">
        <v>521</v>
      </c>
      <c r="N12" s="5" t="s">
        <v>522</v>
      </c>
    </row>
    <row r="13" spans="1:14" ht="78" customHeight="1">
      <c r="A13" s="18">
        <v>12</v>
      </c>
      <c r="B13" s="5" t="s">
        <v>367</v>
      </c>
      <c r="C13" s="97" t="s">
        <v>368</v>
      </c>
      <c r="D13" s="103" t="s">
        <v>13</v>
      </c>
      <c r="E13" s="19">
        <v>46240</v>
      </c>
      <c r="F13" s="19" t="s">
        <v>14</v>
      </c>
      <c r="G13" s="20">
        <v>0.8</v>
      </c>
      <c r="H13" s="5" t="s">
        <v>369</v>
      </c>
      <c r="I13" s="5" t="s">
        <v>370</v>
      </c>
      <c r="J13" s="5" t="s">
        <v>371</v>
      </c>
      <c r="K13" s="5" t="s">
        <v>372</v>
      </c>
      <c r="L13" s="5" t="s">
        <v>373</v>
      </c>
      <c r="M13" s="5" t="s">
        <v>374</v>
      </c>
      <c r="N13" s="5" t="s">
        <v>375</v>
      </c>
    </row>
    <row r="14" spans="1:14" ht="96" customHeight="1">
      <c r="A14" s="11">
        <v>13</v>
      </c>
      <c r="B14" s="12" t="s">
        <v>523</v>
      </c>
      <c r="C14" s="96" t="s">
        <v>1077</v>
      </c>
      <c r="D14" s="122" t="s">
        <v>21</v>
      </c>
      <c r="E14" s="13" t="s">
        <v>157</v>
      </c>
      <c r="F14" s="13" t="s">
        <v>1078</v>
      </c>
      <c r="G14" s="14">
        <v>0.98347107438016534</v>
      </c>
      <c r="H14" s="12" t="s">
        <v>524</v>
      </c>
      <c r="I14" s="12" t="s">
        <v>1079</v>
      </c>
      <c r="J14" s="12" t="s">
        <v>1080</v>
      </c>
      <c r="K14" s="12" t="s">
        <v>1081</v>
      </c>
      <c r="L14" s="12" t="s">
        <v>1082</v>
      </c>
      <c r="M14" s="12" t="s">
        <v>1083</v>
      </c>
      <c r="N14" s="12" t="s">
        <v>1084</v>
      </c>
    </row>
    <row r="15" spans="1:14" ht="112.5">
      <c r="A15" s="11">
        <v>14</v>
      </c>
      <c r="B15" s="12" t="s">
        <v>1085</v>
      </c>
      <c r="C15" s="22" t="s">
        <v>1086</v>
      </c>
      <c r="D15" s="124" t="s">
        <v>13</v>
      </c>
      <c r="E15" s="13">
        <v>46296</v>
      </c>
      <c r="F15" s="13" t="s">
        <v>1087</v>
      </c>
      <c r="G15" s="14">
        <v>0.7</v>
      </c>
      <c r="H15" s="12" t="s">
        <v>1088</v>
      </c>
      <c r="I15" s="12" t="s">
        <v>1089</v>
      </c>
      <c r="J15" s="12" t="s">
        <v>1090</v>
      </c>
      <c r="K15" s="12" t="s">
        <v>1091</v>
      </c>
      <c r="L15" s="12" t="s">
        <v>1092</v>
      </c>
      <c r="M15" s="12" t="s">
        <v>1093</v>
      </c>
      <c r="N15" s="12" t="s">
        <v>1094</v>
      </c>
    </row>
  </sheetData>
  <conditionalFormatting sqref="D2:D12">
    <cfRule type="containsText" dxfId="8" priority="6" operator="containsText" text="Red"/>
    <cfRule type="containsText" dxfId="7" priority="7" operator="containsText" text="Amber"/>
    <cfRule type="containsText" dxfId="6" priority="8" operator="containsText" text="Green"/>
  </conditionalFormatting>
  <conditionalFormatting sqref="D14">
    <cfRule type="containsText" dxfId="5" priority="1" operator="containsText" text="Red"/>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{0C43CCA0-AD9B-4C83-8046-BCE9418CBE65}</x14:id>
        </ext>
      </extLst>
    </cfRule>
  </conditionalFormatting>
  <dataValidations count="1">
    <dataValidation type="list" sqref="D2:D12 D14" xr:uid="{806E3FE7-B9C3-4B16-BB68-398BB595C0CC}">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43CCA0-AD9B-4C83-8046-BCE9418CBE65}">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workbookViewId="0">
      <selection activeCell="B2" sqref="B2"/>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05" t="s">
        <v>0</v>
      </c>
      <c r="B1" s="106" t="s">
        <v>1</v>
      </c>
      <c r="C1" s="106" t="s">
        <v>2</v>
      </c>
      <c r="D1" s="106" t="s">
        <v>3</v>
      </c>
      <c r="E1" s="106" t="s">
        <v>4</v>
      </c>
      <c r="F1" s="106" t="s">
        <v>767</v>
      </c>
      <c r="G1" s="106" t="s">
        <v>5</v>
      </c>
      <c r="H1" s="106" t="s">
        <v>6</v>
      </c>
      <c r="I1" s="106" t="s">
        <v>7</v>
      </c>
      <c r="J1" s="106" t="s">
        <v>8</v>
      </c>
      <c r="K1" s="106" t="s">
        <v>9</v>
      </c>
      <c r="L1" s="106" t="s">
        <v>10</v>
      </c>
      <c r="M1" s="106" t="s">
        <v>11</v>
      </c>
      <c r="N1" s="5" t="s">
        <v>12</v>
      </c>
    </row>
    <row r="2" spans="1:14" ht="224">
      <c r="A2" s="2">
        <v>1</v>
      </c>
      <c r="B2" s="5" t="s">
        <v>376</v>
      </c>
      <c r="C2" s="107" t="s">
        <v>799</v>
      </c>
      <c r="D2" s="108" t="s">
        <v>13</v>
      </c>
      <c r="E2" s="109">
        <v>46267</v>
      </c>
      <c r="F2" s="110" t="s">
        <v>697</v>
      </c>
      <c r="G2" s="20">
        <v>0.7</v>
      </c>
      <c r="H2" s="5" t="s">
        <v>800</v>
      </c>
      <c r="I2" s="5" t="s">
        <v>801</v>
      </c>
      <c r="J2" s="5" t="s">
        <v>802</v>
      </c>
      <c r="K2" s="5" t="s">
        <v>803</v>
      </c>
      <c r="L2" s="5" t="s">
        <v>804</v>
      </c>
      <c r="M2" s="5" t="s">
        <v>805</v>
      </c>
      <c r="N2" s="5" t="s">
        <v>806</v>
      </c>
    </row>
    <row r="3" spans="1:14" ht="154">
      <c r="A3" s="2">
        <v>2</v>
      </c>
      <c r="B3" s="5" t="s">
        <v>698</v>
      </c>
      <c r="C3" s="111" t="s">
        <v>699</v>
      </c>
      <c r="D3" s="112" t="s">
        <v>13</v>
      </c>
      <c r="E3" s="109">
        <v>46303</v>
      </c>
      <c r="F3" s="110" t="s">
        <v>700</v>
      </c>
      <c r="G3" s="20">
        <v>0.7</v>
      </c>
      <c r="H3" s="5" t="s">
        <v>701</v>
      </c>
      <c r="I3" s="5" t="s">
        <v>702</v>
      </c>
      <c r="J3" s="5" t="s">
        <v>703</v>
      </c>
      <c r="K3" s="5" t="s">
        <v>704</v>
      </c>
      <c r="L3" s="5" t="s">
        <v>705</v>
      </c>
      <c r="M3" s="5" t="s">
        <v>706</v>
      </c>
      <c r="N3" s="5" t="s">
        <v>707</v>
      </c>
    </row>
    <row r="4" spans="1:14" ht="182">
      <c r="A4" s="2">
        <v>3</v>
      </c>
      <c r="B4" s="5" t="s">
        <v>708</v>
      </c>
      <c r="C4" s="111" t="s">
        <v>709</v>
      </c>
      <c r="D4" s="112" t="s">
        <v>13</v>
      </c>
      <c r="E4" s="109">
        <v>46303</v>
      </c>
      <c r="F4" s="110" t="s">
        <v>377</v>
      </c>
      <c r="G4" s="20">
        <v>0.5</v>
      </c>
      <c r="H4" s="5" t="s">
        <v>710</v>
      </c>
      <c r="I4" s="5" t="s">
        <v>711</v>
      </c>
      <c r="J4" s="5" t="s">
        <v>712</v>
      </c>
      <c r="K4" s="5" t="s">
        <v>713</v>
      </c>
      <c r="L4" s="5" t="s">
        <v>714</v>
      </c>
      <c r="M4" s="5" t="s">
        <v>715</v>
      </c>
      <c r="N4" s="5" t="s">
        <v>716</v>
      </c>
    </row>
    <row r="5" spans="1:14" ht="168">
      <c r="A5" s="2">
        <v>4</v>
      </c>
      <c r="B5" s="5" t="s">
        <v>717</v>
      </c>
      <c r="C5" s="111" t="s">
        <v>718</v>
      </c>
      <c r="D5" s="112" t="s">
        <v>13</v>
      </c>
      <c r="E5" s="109">
        <v>46303</v>
      </c>
      <c r="F5" s="110" t="s">
        <v>719</v>
      </c>
      <c r="G5" s="20">
        <v>0.3</v>
      </c>
      <c r="H5" s="5" t="s">
        <v>720</v>
      </c>
      <c r="I5" s="5" t="s">
        <v>721</v>
      </c>
      <c r="J5" s="5" t="s">
        <v>722</v>
      </c>
      <c r="K5" s="5" t="s">
        <v>723</v>
      </c>
      <c r="L5" s="5" t="s">
        <v>724</v>
      </c>
      <c r="M5" s="5" t="s">
        <v>725</v>
      </c>
      <c r="N5" s="5" t="s">
        <v>726</v>
      </c>
    </row>
    <row r="6" spans="1:14" ht="154">
      <c r="A6" s="2">
        <v>5</v>
      </c>
      <c r="B6" s="5" t="s">
        <v>727</v>
      </c>
      <c r="C6" s="111" t="s">
        <v>728</v>
      </c>
      <c r="D6" s="112" t="s">
        <v>13</v>
      </c>
      <c r="E6" s="109">
        <v>46303</v>
      </c>
      <c r="F6" s="110" t="s">
        <v>729</v>
      </c>
      <c r="G6" s="20">
        <v>0.35</v>
      </c>
      <c r="H6" s="5" t="s">
        <v>730</v>
      </c>
      <c r="I6" s="5" t="s">
        <v>731</v>
      </c>
      <c r="J6" s="5" t="s">
        <v>732</v>
      </c>
      <c r="K6" s="5" t="s">
        <v>733</v>
      </c>
      <c r="L6" s="5" t="s">
        <v>734</v>
      </c>
      <c r="M6" s="5" t="s">
        <v>735</v>
      </c>
      <c r="N6" s="5" t="s">
        <v>736</v>
      </c>
    </row>
    <row r="7" spans="1:14" ht="154">
      <c r="A7" s="2">
        <v>6</v>
      </c>
      <c r="B7" s="5" t="s">
        <v>737</v>
      </c>
      <c r="C7" s="111" t="s">
        <v>738</v>
      </c>
      <c r="D7" s="112" t="s">
        <v>13</v>
      </c>
      <c r="E7" s="109">
        <v>46303</v>
      </c>
      <c r="F7" s="110" t="s">
        <v>739</v>
      </c>
      <c r="G7" s="20">
        <v>0.55000000000000004</v>
      </c>
      <c r="H7" s="5" t="s">
        <v>740</v>
      </c>
      <c r="I7" s="5" t="s">
        <v>741</v>
      </c>
      <c r="J7" s="5" t="s">
        <v>742</v>
      </c>
      <c r="K7" s="5" t="s">
        <v>743</v>
      </c>
      <c r="L7" s="5" t="s">
        <v>744</v>
      </c>
      <c r="M7" s="5" t="s">
        <v>745</v>
      </c>
      <c r="N7" s="5" t="s">
        <v>746</v>
      </c>
    </row>
    <row r="8" spans="1:14" ht="182">
      <c r="A8" s="2">
        <v>7</v>
      </c>
      <c r="B8" s="5" t="s">
        <v>747</v>
      </c>
      <c r="C8" s="111" t="s">
        <v>748</v>
      </c>
      <c r="D8" s="112" t="s">
        <v>13</v>
      </c>
      <c r="E8" s="109">
        <v>46303</v>
      </c>
      <c r="F8" s="110" t="s">
        <v>749</v>
      </c>
      <c r="G8" s="20">
        <v>0.45</v>
      </c>
      <c r="H8" s="5" t="s">
        <v>750</v>
      </c>
      <c r="I8" s="5" t="s">
        <v>751</v>
      </c>
      <c r="J8" s="5" t="s">
        <v>752</v>
      </c>
      <c r="K8" s="5" t="s">
        <v>753</v>
      </c>
      <c r="L8" s="5" t="s">
        <v>754</v>
      </c>
      <c r="M8" s="5" t="s">
        <v>755</v>
      </c>
      <c r="N8" s="5" t="s">
        <v>756</v>
      </c>
    </row>
    <row r="9" spans="1:14" ht="182">
      <c r="A9" s="2">
        <v>8</v>
      </c>
      <c r="B9" s="5" t="s">
        <v>757</v>
      </c>
      <c r="C9" s="111" t="s">
        <v>758</v>
      </c>
      <c r="D9" s="112" t="s">
        <v>13</v>
      </c>
      <c r="E9" s="109">
        <v>46303</v>
      </c>
      <c r="F9" s="110" t="s">
        <v>759</v>
      </c>
      <c r="G9" s="20">
        <v>0.3</v>
      </c>
      <c r="H9" s="5" t="s">
        <v>760</v>
      </c>
      <c r="I9" s="5" t="s">
        <v>761</v>
      </c>
      <c r="J9" s="5" t="s">
        <v>762</v>
      </c>
      <c r="K9" s="5" t="s">
        <v>763</v>
      </c>
      <c r="L9" s="5" t="s">
        <v>764</v>
      </c>
      <c r="M9" s="5" t="s">
        <v>765</v>
      </c>
      <c r="N9" s="5" t="s">
        <v>766</v>
      </c>
    </row>
    <row r="10" spans="1:14" ht="224">
      <c r="A10" s="2">
        <v>9</v>
      </c>
      <c r="B10" s="5" t="s">
        <v>807</v>
      </c>
      <c r="C10" s="107" t="s">
        <v>808</v>
      </c>
      <c r="D10" s="108" t="s">
        <v>13</v>
      </c>
      <c r="E10" s="109">
        <v>46304</v>
      </c>
      <c r="F10" s="110" t="s">
        <v>809</v>
      </c>
      <c r="G10" s="20">
        <v>0.7</v>
      </c>
      <c r="H10" s="5" t="s">
        <v>810</v>
      </c>
      <c r="I10" s="5" t="s">
        <v>811</v>
      </c>
      <c r="J10" s="5" t="s">
        <v>812</v>
      </c>
      <c r="K10" s="5" t="s">
        <v>813</v>
      </c>
      <c r="L10" s="5" t="s">
        <v>814</v>
      </c>
      <c r="M10" s="5" t="s">
        <v>815</v>
      </c>
      <c r="N10" s="5" t="s">
        <v>816</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379C36CE-02B9-4F22-B417-50BF8F1E4106}">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2026-10-19T04:48:27Z</dcterms:modified>
</cp:coreProperties>
</file>