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70FFB88F-1F36-4E17-A158-454432839003}" xr6:coauthVersionLast="47" xr6:coauthVersionMax="47" xr10:uidLastSave="{00000000-0000-0000-0000-000000000000}"/>
  <bookViews>
    <workbookView xWindow="-110" yWindow="-110" windowWidth="19420" windowHeight="11500" activeTab="4" xr2:uid="{00000000-000D-0000-FFFF-FFFF00000000}"/>
  </bookViews>
  <sheets>
    <sheet name="IT Security" sheetId="2" r:id="rId1"/>
    <sheet name="Infrastructure &amp; Cloud" sheetId="3" r:id="rId2"/>
    <sheet name="IoT" sheetId="4" r:id="rId3"/>
    <sheet name="R&amp;D AI" sheetId="5" r:id="rId4"/>
    <sheet name="WCS Engineering" sheetId="6" r:id="rId5"/>
    <sheet name="IT 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<sst xmlns="http://schemas.openxmlformats.org/spreadsheetml/2006/main" count="1162" uniqueCount="684">
  <si>
    <t>#</t>
  </si>
  <si>
    <t>Project / Workstream</t>
  </si>
  <si>
    <t>Status</t>
  </si>
  <si>
    <t>RAG Status</t>
  </si>
  <si>
    <t>Start Date</t>
  </si>
  <si>
    <t>% of Completion</t>
  </si>
  <si>
    <t>Core Objective</t>
  </si>
  <si>
    <t>Current Progress</t>
  </si>
  <si>
    <t>Key Next Steps</t>
  </si>
  <si>
    <t>Owners / Direct Responsible Individual</t>
  </si>
  <si>
    <t>Key Risks / Blockers</t>
  </si>
  <si>
    <t>Management Attention</t>
  </si>
  <si>
    <t>Source / Notes</t>
  </si>
  <si>
    <t>Amber</t>
  </si>
  <si>
    <t>TBD</t>
  </si>
  <si>
    <t>User-provided project table</t>
  </si>
  <si>
    <t>Web Security</t>
  </si>
  <si>
    <t>In Progress</t>
  </si>
  <si>
    <t>DNS Security</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</si>
  <si>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</si>
  <si>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</si>
  <si>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</si>
  <si>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</si>
  <si>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</si>
  <si>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</si>
  <si>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</si>
  <si>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</si>
  <si>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</si>
  <si>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</si>
  <si>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</si>
  <si>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</si>
  <si>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</si>
  <si>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</si>
  <si>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</si>
  <si>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</si>
  <si>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</si>
  <si>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</si>
  <si>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</si>
  <si>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</si>
  <si>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</si>
  <si>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</si>
  <si>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</si>
  <si>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</si>
  <si>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</si>
  <si>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</si>
  <si>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</si>
  <si>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</si>
  <si>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</si>
  <si>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</si>
  <si>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Unsupported endpoints create cybersecurity risk; incompatible upgrades could interrupt operations.</t>
  </si>
  <si>
    <t>Review risk-ranked inventory and remediation plan.</t>
  </si>
  <si>
    <t>Dedicated Teams Room PC Security</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</si>
  <si>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</si>
  <si>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</si>
  <si>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</si>
  <si>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</si>
  <si>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</si>
  <si>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</si>
  <si>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</si>
  <si>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</si>
  <si>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</si>
  <si>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</si>
  <si>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</si>
  <si>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</si>
  <si>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</si>
  <si>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</si>
  <si>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</si>
  <si>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Completed</t>
  </si>
  <si>
    <t>2026-09-23</t>
  </si>
  <si>
    <t>2026-09-21</t>
  </si>
  <si>
    <t>BP AI Camera IoT Phase 1</t>
  </si>
  <si>
    <t>Monitoring Engine V2, iOS and Backend API are allcompleted.
End users are using the IoT platform.</t>
  </si>
  <si>
    <t>iOS → Security UAT → Go/No-Go.</t>
  </si>
  <si>
    <t>Yabin Liu</t>
  </si>
  <si>
    <t>UAT and critical defects.</t>
  </si>
  <si>
    <t>P1 – 8/20 launch.</t>
  </si>
  <si>
    <t>Walnut AI Camera IoT Phase 2</t>
  </si>
  <si>
    <t>Camera scope and AI use cases are all configured, ready to .User Usage</t>
  </si>
  <si>
    <t>Camera selection → algorithm mapping → GPU sizing.</t>
  </si>
  <si>
    <t>P2.User Usage and Feedback</t>
  </si>
  <si>
    <t>Walnut Local GPU Infrastructure</t>
  </si>
  <si>
    <t>Completed
note:Nearly one month of continuous monitoring shows GPU, memory and bandwidth metrics are fairly stable. The server also has 7×24 performance monitoring and alerting, so it is capable of running our existing system application architecture.</t>
  </si>
  <si>
    <t>Finalize GPU specifications and procurement after camera matrix completion.</t>
  </si>
  <si>
    <t>GPU capacity, power, procurement ownership.</t>
  </si>
  <si>
    <t>Local GPU recommended.</t>
  </si>
  <si>
    <t>User Manual Development (Monitoring Engine &amp; IoT Platform)</t>
  </si>
  <si>
    <t>Finished all ths steps of the Monitoring Engine and the IoT Platform operation manual.</t>
  </si>
  <si>
    <t>Completed the full operation manual for the Monitoring Engine.</t>
  </si>
  <si>
    <t>Jiaming</t>
  </si>
  <si>
    <t>Target delivery: Sep 11</t>
  </si>
  <si>
    <t>The source file is attached to the email.</t>
  </si>
  <si>
    <t>IoT Platform Development Phase 2 – Yard Management Project</t>
  </si>
  <si>
    <t>Device-to-system integration progress
On-site manpower coordination</t>
  </si>
  <si>
    <t>Yard Security and Monitoring System – Moreno Valley</t>
  </si>
  <si>
    <t>Complete the container and security management system deployment for Moreno Valley.</t>
  </si>
  <si>
    <t>Marco Ma / Olly</t>
  </si>
  <si>
    <t>YMS Yard Check-In/Out Hardware and Software – Alessandro</t>
  </si>
  <si>
    <t>ETD: 4 weeks</t>
  </si>
  <si>
    <t>Complete the hardware and software solution for the YMS yard check-in/check-out process.</t>
  </si>
  <si>
    <t>Robot Dog B2W Deployment – Alessandro</t>
  </si>
  <si>
    <t>Complete the Robot Dog B2W deployment for Alessandro.</t>
  </si>
  <si>
    <t>Marco Ma / Ken</t>
  </si>
  <si>
    <t>Loading Dock Safety Check (Pending)</t>
  </si>
  <si>
    <t>ETD: 3–4 weeks</t>
  </si>
  <si>
    <t>Develop an AI camera solution to improve safety monitoring at the loading dock.</t>
  </si>
  <si>
    <t>Additional samples, testing, and fine-tuning may be required.</t>
  </si>
  <si>
    <t>AGV Cycle Count in Bulk Area</t>
  </si>
  <si>
    <t>ETD: 2 weeks</t>
  </si>
  <si>
    <t>Complete the AGV cycle-count workflow for the bulk area and prepare it for deployment.</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</si>
  <si>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</si>
  <si>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</si>
  <si>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</si>
  <si>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</si>
  <si>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</si>
  <si>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</si>
  <si>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</si>
  <si>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</si>
  <si>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</si>
  <si>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</si>
  <si>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</si>
  <si>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</si>
  <si>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</si>
  <si>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</si>
  <si>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</si>
  <si>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</si>
  <si>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</si>
  <si>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</si>
  <si>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</si>
  <si>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</si>
  <si>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</si>
  <si>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</si>
  <si>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</si>
  <si>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</si>
  <si>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</si>
  <si>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</si>
  <si>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Heacock – XYZ Palletizing Robot</t>
  </si>
  <si>
    <t>BP Conveyor Maintenance</t>
  </si>
  <si>
    <t>Source note not provided.</t>
  </si>
  <si>
    <t>VMS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</si>
  <si>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</si>
  <si>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</si>
  <si>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</si>
  <si>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</si>
  <si>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</si>
  <si>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</si>
  <si>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</si>
  <si>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PCI DSS / SAQ-D</t>
  </si>
  <si>
    <t>Complete PCI DSS compliance.</t>
  </si>
  <si>
    <t>atsec confirmed SAQ-D Merchant applicability.</t>
  </si>
  <si>
    <t>Complete SAQ-D questionnaire, AOC, and technical scope confirmation.</t>
  </si>
  <si>
    <t>Large card-data scope.</t>
  </si>
  <si>
    <t>P1 Compliance.</t>
  </si>
  <si>
    <t>SOC 2 Control &amp; Evidence Readiness</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</si>
  <si>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</si>
  <si>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</si>
  <si>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</si>
  <si>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</si>
  <si>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</si>
  <si>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</si>
  <si>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</si>
  <si>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</si>
  <si>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</si>
  <si>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</si>
  <si>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</si>
  <si>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</si>
  <si>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</si>
  <si>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</si>
  <si>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</si>
  <si>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</si>
  <si>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</si>
  <si>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</si>
  <si>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</si>
  <si>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</si>
  <si>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</si>
  <si>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</si>
  <si>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</si>
  <si>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</si>
  <si>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</si>
  <si>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</si>
  <si>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</si>
  <si>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</si>
  <si>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</si>
  <si>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</si>
  <si>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</si>
  <si>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</si>
  <si>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</si>
  <si>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</si>
  <si>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</si>
  <si>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</si>
  <si>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and ITEM E-Waste Certification Evidence</t>
  </si>
  <si>
    <t>Pending Vendor</t>
  </si>
  <si>
    <t>2026-09-10</t>
  </si>
  <si>
    <t>TBD (3-4 weeks)</t>
  </si>
  <si>
    <t>Retain formal recycling evidence for audit and asset-disposal controls.</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</si>
  <si>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</si>
  <si>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</si>
  <si>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</si>
  <si>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</si>
  <si>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</si>
  <si>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</si>
  <si>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</si>
  <si>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Escalate for a firm delivery date and confirm whether fieldwork can proceed in parallel.</t>
  </si>
  <si>
    <t>Vanta Legal-Entity and Subscription Transition</t>
  </si>
  <si>
    <t>UNIS.CO Internal-Only Email Restriction</t>
  </si>
  <si>
    <t>External Domain Allowlist Controls</t>
  </si>
  <si>
    <t>Permit legitimate external business traffic while maintaining the UNIS.CO restriction policy.</t>
  </si>
  <si>
    <t>Email Team / Operations / Yangyang Yang</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</si>
  <si>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</si>
  <si>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</si>
  <si>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</si>
  <si>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</si>
  <si>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</si>
  <si>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</si>
  <si>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</si>
  <si>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</si>
  <si>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</si>
  <si>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Active PH Employee and Mailbox Inventory</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</si>
  <si>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</si>
  <si>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</si>
  <si>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</si>
  <si>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</si>
  <si>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</si>
  <si>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</si>
  <si>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</si>
  <si>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</si>
  <si>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</si>
  <si>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</si>
  <si>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</si>
  <si>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</si>
  <si>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</si>
  <si>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</si>
  <si>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</si>
  <si>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</si>
  <si>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</si>
  <si>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</si>
  <si>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</si>
  <si>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</si>
  <si>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</si>
  <si>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</si>
  <si>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</si>
  <si>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</si>
  <si>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</si>
  <si>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</si>
  <si>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</si>
  <si>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</si>
  <si>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</si>
  <si>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</si>
  <si>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</si>
  <si>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</si>
  <si>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</si>
  <si>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</si>
  <si>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Ticketing BCP and Operational Contingency</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</si>
  <si>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</si>
  <si>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</si>
  <si>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</si>
  <si>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</si>
  <si>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</si>
  <si>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</si>
  <si>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</si>
  <si>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</si>
  <si>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</si>
  <si>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Red</t>
  </si>
  <si>
    <t>Change-management evidence remains outstanding. Johanson will assess whether planned and emergency change evidence is applicable as of the final Type I assessment date; open items do not necessarily prevent auditor assignment.</t>
  </si>
  <si>
    <t>Collect available change records and obtain Johanson’s applicability decision; agree remediation and evidence owners before final assessment.</t>
  </si>
  <si>
    <t>If applicable controls lack evidence at the as-of date, Type I conclusions may be affected.</t>
  </si>
  <si>
    <t>Johanson email, Sep 15, 2026; prior Network Team notes, Sep 11.</t>
  </si>
  <si>
    <t>SOC 2 Entity, Invoice and Payment Reconciliation</t>
  </si>
  <si>
    <t>2026-08-31</t>
  </si>
  <si>
    <t>TBD - after operational acceptance</t>
  </si>
  <si>
    <t>Secure formal business acceptance for Phase 1 and govern the internal-mail restriction request as a separate follow-on change.</t>
  </si>
  <si>
    <t>Urgent-request fallback pending</t>
  </si>
  <si>
    <t>TBD - before broader mail enforcement</t>
  </si>
  <si>
    <t>Maintain customer and operational communication during a UnisTicket outage, especially if direct PH-US email is restricted.</t>
  </si>
  <si>
    <t>The platform’s three-AZ architecture remains in place, but Lex and Operations have not yet confirmed the operating fallback for urgent requests when UnisTicket is unavailable. The proposed broader mail restriction increases the importance of an approved alternate channel.</t>
  </si>
  <si>
    <t>Define outage roles, urgent-request criteria, phone and approved alternate channels, incident communication, duplicate-ticket handling, recovery reconciliation, and test evidence; align the procedure with the internal-mail pilot.</t>
  </si>
  <si>
    <t>Lex Yang / Robin Zhu / Mary Smothers / Gemar Ermac / Technical Team / Robert Moreno</t>
  </si>
  <si>
    <t>Without a tested fallback, a ticketing outage combined with direct-email restrictions could delay time-sensitive customer, warehouse, or employee support requests.</t>
  </si>
  <si>
    <t>Do not expand internal-mail blocking until the urgent-request fallback is approved, communicated, and tested.</t>
  </si>
  <si>
    <t>PH Operations workflow follow-up, Sep 28–Oct 1, 2026 PST; prior ticketing BCP discussions.</t>
  </si>
  <si>
    <t>Client Reconfiguration and Legacy Sender Cleanup</t>
  </si>
  <si>
    <t>Ensure Outlook and mobile clients use the new UNIS.CO sender while preserving approved UNISCO.COM aliases and uninterrupted access to dependent services.</t>
  </si>
  <si>
    <t>Completed installation of the onboard equipment. GPS configuration requires further adjustment, and 5G router SDK testing is in progress.</t>
  </si>
  <si>
    <t>Adjust and validate the GPS configuration, complete the 5G router SDK testing, and verify communication and operation of all onboard equipment.</t>
  </si>
  <si>
    <t>GPS configuration and router integration may require additional testing and adjustment.</t>
  </si>
  <si>
    <t>Continue monitoring GPS validation and 5G router integration progress.</t>
  </si>
  <si>
    <t>Onboard equipment installation has been completed.</t>
  </si>
  <si>
    <t>Continued optimizing visual model accuracy and improving the overall user experience. Initial results can identify vehicle entry and exit activities, license plates, wheel chocks, and personnel.</t>
  </si>
  <si>
    <t>Continue collecting samples, fine-tuning the visual model, validating detection accuracy, and improving the user workflow and interface experience.</t>
  </si>
  <si>
    <t>Continue monitoring model accuracy and user-experience improvements.</t>
  </si>
  <si>
    <t>Visual model and user-experience optimization are ongoing.</t>
  </si>
  <si>
    <t>BP Air Compressor and Dryer Assessment</t>
  </si>
  <si>
    <t>2026-09-25</t>
  </si>
  <si>
    <t>N/A</t>
  </si>
  <si>
    <t>PCI DSS Compliance &amp; Payment Data Environment</t>
  </si>
  <si>
    <t>Vanta framework corrected / compliance at 59%</t>
  </si>
  <si>
    <t>TBD - after scope, evidence, and control closure</t>
  </si>
  <si>
    <t>Complete PCI DSS compliance with an accurate Vanta framework, validated payment-data scope, and evidence that required technical and operational controls are implemented.</t>
  </si>
  <si>
    <t>Mike confirmed PCI DSS compliance at 59%. The PCI DSS framework settings in Vanta were recently corrected, and there has been limited additional progress since that correction. Card data remains within the payment-gateway front and back ends, and WAF protection has been implemented for PCI-related applications.</t>
  </si>
  <si>
    <t>Validate the corrected Vanta framework and requirement mapping; reconfirm PAN, CVV, token, storage, transmission, encryption, logging, access, vulnerability, and service-provider scope; close remaining evidence and control gaps; complete the applicable SAQ-D and AOC; and establish a realistic completion plan.</t>
  </si>
  <si>
    <t>The corrected framework may expose new or previously misclassified requirements. Incomplete payment-data mapping, evidence gaps, or unresolved technical controls could delay PCI completion.</t>
  </si>
  <si>
    <t>Maintain Amber status and review the post-correction gap list, accountable owners, and target dates. Treat 59% as the current Vanta readiness position, not certification.</t>
  </si>
  <si>
    <t>PCI WAF implemented / broader SaaS evaluation pending</t>
  </si>
  <si>
    <t>TBD - after cost and impact assessment</t>
  </si>
  <si>
    <t>Maintain compliant WAF protection for PCI applications and determine whether extending WAF coverage to other web-based SaaS applications is justified and operationally safe.</t>
  </si>
  <si>
    <t>WAF has been implemented for PCI DSS-related applications and is considered capable of meeting the applicable PCI DSS requirements. The next potential phase is coverage for other web-based SaaS applications, but expansion has not been approved and requires evaluation of cost and operational impact.</t>
  </si>
  <si>
    <t>Document the PCI WAF architecture, protected applications, rules, logging, alerting, ownership, change control, testing, and evidence. Inventory other web-based SaaS applications; rank them by exposure and business criticality; compare expected risk reduction, licensing and support cost, latency, compatibility, and implementation effort; then submit a phased recommendation.</t>
  </si>
  <si>
    <t>Existing PCI coverage requires ongoing tuning and evidence. Broad expansion without application testing may cause outages, blocked transactions, latency, or unjustified cost; delaying high-risk SaaS coverage may leave preventable exposure.</t>
  </si>
  <si>
    <t>Accept the PCI implementation as the completed current milestone, but require a risk-based business case before funding or deploying broader SaaS coverage.</t>
  </si>
  <si>
    <t>On hold / not a current priority</t>
  </si>
  <si>
    <t>TBD - management reprioritization required</t>
  </si>
  <si>
    <t>Provide centrally governed DNS-layer protection across prioritized branches when the risk, funding, and operational priority justify implementation.</t>
  </si>
  <si>
    <t>Mike confirmed that DNS Security is on hold and is not a current priority. China continues using the OneDNS free tier, overseas locations use Cloudflare free security DNS, and Infoblox and Palo Alto DNS-security options were previously tested. No new rollout or procurement activity is approved.</t>
  </si>
  <si>
    <t>Maintain the current DNS protections and document ownership and limitations. Keep vendor test results and quotations current. Define reactivation triggers such as threat trends, compliance requirements, free-tier limitations, branch incidents, or available budget, and reassess priority during the next security roadmap review.</t>
  </si>
  <si>
    <t>Free-tier services may provide limited visibility, policy control, support, retention, or coverage consistency. A prolonged hold could leave branches with uneven DNS protection, while premature rollout could create cost and operational disruption.</t>
  </si>
  <si>
    <t>No immediate investment decision is required. Retain Amber status, document the accepted residual risk, and set a formal review point rather than leaving the workstream indefinitely open.</t>
  </si>
  <si>
    <t>Pilot Testing / In Progress</t>
  </si>
  <si>
    <t>IOT-RELATED PROJECTS &amp; TASKS</t>
  </si>
  <si>
    <t>Team Lead: Yabin Liu | Reporting Date: 2026-08-23 PST | Source: IT_Project_Roadmap_Consolidated_2026_v1.0 (23Aug2026 PST)</t>
  </si>
  <si>
    <t>Owner / Responsible</t>
  </si>
  <si>
    <r>
      <rPr>
        <sz val="9"/>
        <color rgb="FF1F1F1F"/>
        <rFont val="Carlito"/>
        <charset val="134"/>
      </rPr>
      <t>The BP</t>
    </r>
    <r>
      <rPr>
        <sz val="9"/>
        <color rgb="FF1F1F1F"/>
        <rFont val="Times New Roman"/>
        <family val="1"/>
      </rPr>
      <t>‑</t>
    </r>
    <r>
      <rPr>
        <sz val="9"/>
        <color rgb="FF1F1F1F"/>
        <rFont val="Carlito"/>
        <charset val="134"/>
      </rPr>
      <t>hosted GPU can cover the workloads for both the BP site and Walnut site.</t>
    </r>
  </si>
  <si>
    <r>
      <rPr>
        <sz val="9"/>
        <color rgb="FF1F1F1F"/>
        <rFont val="Carlito"/>
        <charset val="134"/>
      </rPr>
      <t>Current Main Tasks for the IoT Platform</t>
    </r>
    <r>
      <rPr>
        <sz val="9"/>
        <color rgb="FF1F1F1F"/>
        <rFont val="Times New Roman"/>
        <family val="1"/>
      </rPr>
      <t>‑</t>
    </r>
    <r>
      <rPr>
        <sz val="9"/>
        <color rgb="FF1F1F1F"/>
        <rFont val="Carlito"/>
        <charset val="134"/>
      </rPr>
      <t xml:space="preserve"> P2 Development</t>
    </r>
  </si>
  <si>
    <t>Observation active / preparation prerequisites and entity update pending</t>
  </si>
  <si>
    <t>Complete the ITEM SOC 2 Type II renewal, preserve the Jan 21, 2026–Jan 20, 2027 observation period, and ensure the engagement, Vanta audit, billing, System Description, and final report use the approved reporting entity.</t>
  </si>
  <si>
    <t>Johanson confirmed that preparation may run in parallel, but formal testing would generally begin after the observation period. Before audit-team assignment, ITEM must provide an updated System Description in Word, create the Type II audit in Vanta and grant Johanson access, complete the Audit Scoping Form, and close the initial invoice/payment requirement. ITEM LLC to Item.com, Inc. also requires supporting legal documents and a signed Change Order.</t>
  </si>
  <si>
    <t>Create the ITEM Type II audit in Vanta; grant Johanson access; submit the updated Word System Description and separate scoping form; reconcile the existing $7,500 payment against Johanson’s initial-payment prerequisite; provide legal transition documents; execute the Change Order; and confirm that engagement records and the final reporting entity are consistent before assignment.</t>
  </si>
  <si>
    <t>Missing Vanta access, scoping, payment reconciliation, or legal documentation can delay assignment. Mixed ITEM LLC and Item.com, Inc. operations may affect the reporting-entity conclusion if contracts, employees, customers, or services remain split.</t>
  </si>
  <si>
    <t>Keep preparation active, but do not represent November as formal testing. Require written confirmation of payment allocation, legal-entity treatment, and assignment prerequisites.</t>
  </si>
  <si>
    <t>Adam Gentner SOC 2 strategy follow-up, updated 12-Oct-2026 PST; ITEM observation period and prior $7,500 payment record.</t>
  </si>
  <si>
    <t>TBD - before scoping form submission</t>
  </si>
  <si>
    <t>TBD - aligned with approved TSC scope</t>
  </si>
  <si>
    <t>Vanta preparation active at ~48% / audit timing not approved</t>
  </si>
  <si>
    <t>TBD - after pricing, readiness, and separate engagement approval</t>
  </si>
  <si>
    <t>Continue GDPR evidence preparation in Vanta while separately confirming pricing, entity treatment, audit scope, readiness criteria, and assessment timing.</t>
  </si>
  <si>
    <t>Johanson confirmed that GDPR evidence preparation may continue in parallel. The Vanta instance is available and was reported at approximately 48% complete. Vanta’s prorated framework pricing and the audit engagement requirements remain separate open items. No formal November audit start has been approved.</t>
  </si>
  <si>
    <t>Continue evidence collection and mapping; obtain Vanta’s written prorated pricing and contracting terms; confirm whether work prepared under ITEM LLC carries to Item.com, Inc.; define scope and readiness criteria with Johanson; then obtain management approval for the assessment schedule.</t>
  </si>
  <si>
    <t>Stacy Nguyen / Robert Moreno / Vanta / Adam Gentner / Legal / Privacy and Control Owners</t>
  </si>
  <si>
    <t>Preparation may be misread as audit authorization. Entity changes, unapproved pricing, incomplete evidence, or unclear engagement terms could create rework or cost exposure.</t>
  </si>
  <si>
    <t>Allow evidence work to continue, but keep audit timing and purchasing subject to explicit pricing, entity, readiness, and engagement approval.</t>
  </si>
  <si>
    <t>Adam Gentner SOC 2 strategy follow-up, updated 12-Oct-2026 PST.</t>
  </si>
  <si>
    <t>Legal documentation and Change Order pending / current entities retained</t>
  </si>
  <si>
    <t>TBD - after legal review and signed Change Order</t>
  </si>
  <si>
    <t>Preserve audit continuity while formally documenting and approving any transition from ITEM LLC to Item.com, Inc. and, separately, UNIS LLC to Unisco.com Inc.</t>
  </si>
  <si>
    <t>Johanson does not require a special template. Acceptable evidence includes formation documents, a business license, or another official record showing the new legal name. A true entity change also requires documentation showing the relationship between entities. After receipt, Johanson can prepare the Change Order and update the engagement, System Description, and internal records. Reuse of audit work depends on materially unchanged systems, controls, personnel, infrastructure, services, and operations.</t>
  </si>
  <si>
    <t>Legal to provide official transition documentation and identify whether each change is a rename or a separate-entity transition. Map contracts, employees, customers, services, systems, and control ownership. Submit the package to Johanson, obtain the audit-team assessment, execute the Change Order, and update all records consistently.</t>
  </si>
  <si>
    <t>Insufficient legal continuity evidence or mixed-entity operations could prevent a simple name update, misstate the reporting entity, or require broader scope and engagement changes.</t>
  </si>
  <si>
    <t>Retain UNIS LLC and ITEM LLC as the active audit entities until legal review and signed Change Orders authorize a change.</t>
  </si>
  <si>
    <t>Adam Gentner entity-transition guidance, Sep 30–Oct 2026 follow-up thread.</t>
  </si>
  <si>
    <t>Completion Date</t>
  </si>
  <si>
    <t>SOC 2 Type I Renewal for UNIS LLC</t>
  </si>
  <si>
    <t>SOC 2 Type II Renewal for ITEM LLC</t>
  </si>
  <si>
    <t>UNIS LLC SOC 2 TSC &amp; System Scope Alignment</t>
  </si>
  <si>
    <t>Current Cybersecurity and Network Security Owner (TBD) / Robert Moreno / Stacy Nguyen / Control Owners / Adam Gentner / Johanson Audit Team / Vanta Administrator</t>
  </si>
  <si>
    <t>UNIS LLC SOC 2 Type I Readiness, Payment and Auditor Assignment</t>
  </si>
  <si>
    <t>The vendor collected UNIS and ITEM equipment on Thursday (10/8); certificates are expected three to four weeks after pickup.</t>
  </si>
  <si>
    <t>The PH team has joined the sample screening and annotation process, resulting in improved visual model accuracy. Additional samples continue to be collected and annotated. The user manual has been published, while the training video is still pending. One exterior camera installation also remains pending.</t>
  </si>
  <si>
    <t>Continue expanding the sample dataset and improving model accuracy. Follow up on the training video and installer ETA, complete the remaining exterior camera installation, and continue the Speaker TTS and warning-light integration.</t>
  </si>
  <si>
    <t>Remaining installation, training-video delivery, and model optimization may require additional coordination.</t>
  </si>
  <si>
    <t>Continue monitoring sample development, model accuracy, training-video delivery, and installation readiness.</t>
  </si>
  <si>
    <t>The PH team is supporting sample screening and annotation. The user manual is available, but the training video has not yet been received.</t>
  </si>
  <si>
    <t>Procurement requirements have been confirmed, and the installation team has started installing the equipment at the designated locations.</t>
  </si>
  <si>
    <t>Complete the remaining equipment installation according to the SOP, verify the hardware configuration, and proceed with system testing and activation.</t>
  </si>
  <si>
    <t>Installation and system activation may require additional coordination and adjustment.</t>
  </si>
  <si>
    <t>Continue monitoring installation progress and testing readiness.</t>
  </si>
  <si>
    <t>On-site equipment installation is in progress.</t>
  </si>
  <si>
    <t>Updated the navigation workflow to reduce instances where the AGV is unable to return to the charging station. Testing and optimization continue in active aisles. The team is also evaluating the performance of a new LiDAR solution.</t>
  </si>
  <si>
    <t>Continue validating the updated return-to-charge workflow, optimize navigation and localization performance, evaluate the new LiDAR, and gradually expand operation to additional aisles.</t>
  </si>
  <si>
    <t>Navigation reliability and new LiDAR performance may require further validation.</t>
  </si>
  <si>
    <t>Continue monitoring return-to-charge reliability, field-test results, and LiDAR evaluation progress.</t>
  </si>
  <si>
    <t>The updated workflow is designed to improve return-to-charge reliability. New LiDAR research and testing are in progress.</t>
  </si>
  <si>
    <t>Dock Vision Forklift In/Out (Single-Camera Demo) – Ontario</t>
  </si>
  <si>
    <t>Develop a single-camera demonstration to count forklift pallet movements in and out of the dock and verify whether truck rain-curtain securing straps are properly positioned during loading.</t>
  </si>
  <si>
    <t>Completed the site survey and generated initial detection results using the existing camera. The current demonstration provides preliminary forklift movement, pallet-counting, and securing-strap status results.</t>
  </si>
  <si>
    <t>Continue collecting and annotating samples, refine the visual model, and improve detection and counting accuracy under the single-camera setup.</t>
  </si>
  <si>
    <t>Single-camera coverage and available sample diversity may require additional model adjustment.</t>
  </si>
  <si>
    <t>Continue monitoring sample collection, model accuracy, and demonstration readiness.</t>
  </si>
  <si>
    <t>Initial results have been generated using the existing Ontario dock camera.</t>
  </si>
  <si>
    <t>AGV Inventory Count – Joliet</t>
  </si>
  <si>
    <t>Prepare and deploy four AGVs to support automated inventory counting at the Joliet facility.</t>
  </si>
  <si>
    <t>Delivered the procurement list and assembly SOP to the Implementation team and IT Helpdesk. Completed Phase I assembly for four AGVs. The remaining parts and equipment are pending arrival. Software migration to the four edge devices is also in progress.</t>
  </si>
  <si>
    <t>Complete Phase II assembly after the remaining parts arrive and finish the software migration to all four edge devices. Hand over the systems to the Implementation team for mapping training. After training, ship the AGVs to Joliet for the site survey, charging-station placement, and map creation. Review the completed map before beginning trial operations.</t>
  </si>
  <si>
    <t>Parts delivery, assembly, mapping, and on-site preparation may require additional coordination.</t>
  </si>
  <si>
    <t>Continue monitoring procurement, Phase II assembly, software migration, and Joliet site readiness.</t>
  </si>
  <si>
    <t>Phase I assembly of four AGVs has been completed. Trial operations will begin after the site map is completed and reviewed.</t>
  </si>
  <si>
    <t>Correct-roller proposal awaiting signature / RMA, final cost, parts order, and execution schedule pending</t>
  </si>
  <si>
    <t>TBD - 5–6-week parts lead time after signed approval and order, then a three-day overnight execution window</t>
  </si>
  <si>
    <t>Install the correct 32NBS rollers and required sorter components, return incorrect parts, restore reliable divert performance, and control total cost and operational downtime.</t>
  </si>
  <si>
    <t>The revised proposal reflects the correct components, including the full credit for incorrectly ordered parts and no additional installation labor for the revised work. Anuj sent the correct-roller proposal to Steve for signature; the signed proposal is required before ordering and maintenance can proceed. Lafayette still must provide the RMA, return part numbers, and quantities. Original-project and final TGW freight remain unresolved, taxes are estimated, and a complete cost ceiling is not yet confirmed. A three-day overnight work plan is proposed for final alignment.</t>
  </si>
  <si>
    <t>Secure the signed proposal and issue the order. Lafayette to provide the RMA, itemized return list, part numbers, quantities, freight breakdown, tax basis, exclusions, order confirmation, and delivery dates. Confirm whether UNIS-managed freight reduces cost. Finalize the three-day after-hours schedule, downtime by activity, staffing, receiving, rollback, divert-routing tests, restart criteria, and next-shift readiness.</t>
  </si>
  <si>
    <t>Anuj Jagetia / Steve Kim / Robert Moreno / Stacy Nguyen / Henry Chacon / Lafayette Engineering / TGW / BP Operations / Finance and AP</t>
  </si>
  <si>
    <t>Unsigned approval delays the 5–6-week lead time. Missing RMA details may delay credits and returns. Unknown freight, estimated taxes, and exclusions prevent a reliable total. Peak-season timing and incomplete restart testing may extend disruption or leave divert issues unresolved.</t>
  </si>
  <si>
    <t>Treat signature, full cost confirmation, RMA, and delivery dates as approval gates. Keep Amber until parts are ordered and the outage, routing test, restart, and next-shift acceptance plan is approved. Escalate if the projected total exceeds the approved budget threshold.</t>
  </si>
  <si>
    <t>Request to Sign Proposal for Correct Rollers email, 14-Oct-2026 PST; Lafayette Conveyor Line – Divert Issue email thread through 15-Oct-2026 PST; BP Conveyor and Air Compressor scope/cost/schedule meeting invite.</t>
  </si>
  <si>
    <t>RCS demo testing complete / WCS development in progress</t>
  </si>
  <si>
    <t>WCS test target: 31-Oct-2026; U.S. arrival and deployment / commissioning remain planned for early Dec-2026</t>
  </si>
  <si>
    <t>Complete WCS development and testing, then deliver the Shelf-to-Person AGV solution for U.S. deployment and commissioning.</t>
  </si>
  <si>
    <t>Brant confirmed that Shelf-to-Person AGV Demo RCS testing is finished and WCS development is in progress. The latest explicit owner-reported completion is 65% from 12-Oct-2026; the subsequent update did not provide a revised numeric percentage. WCS testing is targeted for the end of October.</t>
  </si>
  <si>
    <t>Complete WCS development; execute and document WCS testing by 31-Oct-2026; resolve test defects; confirm shipment readiness, U.S. deployment location, site readiness, installation plan, and commissioning schedule; provide the next portfolio update by Thursday or Friday.</t>
  </si>
  <si>
    <t>Brant Ji / Neil Zhou / Abhijeet Rathi / Anuj Jagetia</t>
  </si>
  <si>
    <t>End-of-October WCS testing depends on development completion and defect resolution. The U.S. deployment location and site readiness remain subject to confirmation, and BP relocation may create avoidable relocation or recommissioning work.</t>
  </si>
  <si>
    <t>Maintain Amber until WCS testing passes and the U.S. deployment site is confirmed. Track the 31-Oct test milestone, identify support needs promptly, and reassess shipment and early-December commissioning if testing slips.</t>
  </si>
  <si>
    <t>Brant Ji WCS Engineering Project Update email thread, latest update 18-Oct-2026 PST; 65% explicitly reported 12-Oct-2026.</t>
  </si>
  <si>
    <t>Scope and commercial review scheduled / proposal, dryer decision, and final cost remain open</t>
  </si>
  <si>
    <t>TBD - after proposal review, diagnostic decision, approval, and coordinated maintenance window</t>
  </si>
  <si>
    <t>Establish the compressor and dryer condition, approve the correct maintenance or replacement scope, and complete the work with controlled cost and downtime.</t>
  </si>
  <si>
    <t>The air-compressor system proposal remains outstanding in the Lafayette thread. A dedicated review is planned to confirm the maintenance scope, included filters and materials, applicable taxes and exclusions, downtime, and whether dryer replacement is required. Dryer pricing is requested for budget planning if the need remains uncertain. The team intends to coordinate approved work with a three-day overnight window when practical.</t>
  </si>
  <si>
    <t>Obtain the latest itemized compressor and dryer proposal. Confirm equipment condition, diagnostic steps, preventive-maintenance scope, filters and materials, replacement-dryer need and price, warranties, taxes, exclusions, lead times, downtime, staffing, and next-shift readiness. Compare maintenance versus replacement, approve the selected option separately, and coordinate with conveyor work only if it reduces risk and disruption.</t>
  </si>
  <si>
    <t>Henry Chacon / Lafayette Engineering / Anuj Jagetia / Steve Kim / Robert Moreno / Stacy Nguyen / BP Operations / Facilities / Finance and AP</t>
  </si>
  <si>
    <t>The root cause, proposal, dryer requirement, complete cost, lead time, and downtime are not confirmed. Combining the scope with conveyor work before separate approval could hide accountability or delay both activities.</t>
  </si>
  <si>
    <t>Keep Amber. Require a fact-based diagnosis, itemized proposal, dryer option, full cost, and separate approval before execution. Approve combined scheduling only after both scopes and readiness criteria are complete.</t>
  </si>
  <si>
    <t>BP Conveyor and Air Compressor Maintenance scope, cost, and schedule review invite; Lafayette Conveyor Line – Divert Issue email thread through 15-Oct-2026 PST.</t>
  </si>
  <si>
    <t>Mike Wang's replacement pending / Robert Moreno / PCI Application Owners / Vanta Administrator / Infrastructure and Security Teams</t>
  </si>
  <si>
    <t>Mike Wang's replacement pending email response, Request to Update the IT Security Tab, 12-Oct-2026 PST.</t>
  </si>
  <si>
    <t>Mike Wang's replacement pending / Robert Moreno / Application Owners / Infrastructure and Security Teams / Finance and Procurement</t>
  </si>
  <si>
    <t>Mike Wang's replacement pending / Robert Moreno / Network and Security Teams / Branch IT Owners</t>
  </si>
  <si>
    <t>Mike Wang's replacement pending, Robert</t>
  </si>
  <si>
    <t>Mel Gutierrez / Robert Moreno / Mike Wang's replacement pending / Robotics Team</t>
  </si>
  <si>
    <t>Mike Wang's replacement pending, Robert,  Johanson Group, Vanta Team</t>
  </si>
  <si>
    <t>Robert Moreno / Stacy Nguyen / Adam Gentner / Johanson Audit and Accounting Teams / Mike Wang's replacement pending / Legal / Vanta Administrator</t>
  </si>
  <si>
    <t>Vincent / Robert Moreno / Mike Wang's replacement pending / Johanson Group</t>
  </si>
  <si>
    <t>James Tran / Robert Moreno / Stacy Nguyen / Adam Gentner / Johanson Audit Team / Mike Wang's replacement pending / Vanta Administrator</t>
  </si>
  <si>
    <t>Green / 8/20 Target</t>
  </si>
  <si>
    <t>Green / 8/28 Target</t>
  </si>
  <si>
    <t>Green / 9/1 Target</t>
  </si>
  <si>
    <t>Green / 9/11 Target</t>
  </si>
  <si>
    <t>Green / 10/1 Target</t>
  </si>
  <si>
    <r>
      <t xml:space="preserve">- Barrier integration </t>
    </r>
    <r>
      <rPr>
        <sz val="9"/>
        <color rgb="FF1F1F1F"/>
        <rFont val="Segoe UI Emoji"/>
        <family val="2"/>
      </rPr>
      <t>✅</t>
    </r>
    <r>
      <rPr>
        <sz val="9"/>
        <color rgb="FF1F1F1F"/>
        <rFont val="Carlito"/>
        <charset val="134"/>
      </rPr>
      <t xml:space="preserve"> Completed
- Quadruped robot: 45%
- YMS master data: 70%
- Vehicle guidance SMS feature:</t>
    </r>
    <r>
      <rPr>
        <sz val="9"/>
        <color rgb="FF1F1F1F"/>
        <rFont val="Segoe UI Symbol"/>
        <family val="2"/>
      </rPr>
      <t>✅</t>
    </r>
    <r>
      <rPr>
        <sz val="9"/>
        <color rgb="FF1F1F1F"/>
        <rFont val="Carlito"/>
        <charset val="134"/>
      </rPr>
      <t xml:space="preserve"> Completed
- Yard digital twin &amp; AI interaction: demo </t>
    </r>
    <r>
      <rPr>
        <b/>
        <sz val="9"/>
        <color rgb="FF00B050"/>
        <rFont val="Carlito"/>
        <charset val="134"/>
      </rPr>
      <t>70%</t>
    </r>
    <r>
      <rPr>
        <sz val="9"/>
        <color rgb="FF1F1F1F"/>
        <rFont val="Carlito"/>
        <charset val="134"/>
      </rPr>
      <t xml:space="preserve">
- Shuttle integration: Pending</t>
    </r>
  </si>
  <si>
    <t>Complete the above yard business application scenarios(H8).</t>
    <phoneticPr fontId="0" type="noConversion"/>
  </si>
  <si>
    <t>1. Three zones remain (OTD, VPL, VVPL) — we dont have enough staff on site to coordinate with operations for confirmation.
2. Continuous integration progress with Marco’s quadruped robot development team.
3. Shuttle integration is on hold for now. We'll finalize it after the Valley View warehouse move.</t>
    <phoneticPr fontId="0" type="noConversion"/>
  </si>
  <si>
    <t>Operational / NYDJ storage inspection confirmed pending; SKU expansion and shift-support readiness remain open before peak season</t>
  </si>
  <si>
    <t>TBD - pending inspection completion, approved SKU list, successful storage validation, and shift-support assignment</t>
  </si>
  <si>
    <t>Sustain reliable AirRob operations at Alessandro and expand suitable NYDJ SKU storage only after inspection clearance, with clear shift support, issue reporting, ASRS return controls, and peak-season capacity readiness.</t>
  </si>
  <si>
    <t>AirRob remains operational, but the NYDJ SKUs have not been added. On 21-Oct-2026, Chad confirmed that the required inspection was still pending. Abhijeet acknowledged the update and will provide an updated NYDJ SKU list once the inspection is complete. The delay prevents the planned storage expansion and full AirRob capacity use as peak season approaches. AM and PM AirRob support contacts also remain unconfirmed in the available portfolio evidence.</t>
  </si>
  <si>
    <t>Chad/Oscar/Ops: identify the inspection owner, scope, required evidence, target date, blockers, and corrective actions; confirm completion in writing. Abhijeet: prepare the updated NYDJ SKU list, then validate SKU suitability, storage locations, capacity, loading, retrieval, exception handling, and monitoring immediately after clearance. Operations: assign one AM and one PM AirRob contact, complete training and WeChat access, and reinforce prompt fault reporting and Return-to-ASRS controls.</t>
  </si>
  <si>
    <t>Chad Jacobs / Oscar Rodriguez / Abhijeet Rathi / Alessandro Operations / AM and PM AirRob Contacts (TBD) / Brant Ji / Neil Zhou / Anuj Jagetia / WISE Team</t>
  </si>
  <si>
    <t>The inspection has no documented owner or completion date, creating peak-season capacity and schedule risk. Any inspection finding may require corrective work before SKU loading. Unassigned shift contacts can delay fault response, training, exception handling, and ASRS handoff controls.</t>
  </si>
  <si>
    <t>Keep Amber and assign a dated inspection commitment. Escalate if the inspection cannot be completed before the peak-season cutoff or identifies a safety, storage, or equipment-readiness issue. Do not add NYDJ SKUs until inspection closure and successful functional validation are documented.</t>
  </si>
  <si>
    <t>RE NYDJ SKU Addition to AirRob Storage – Inspection Status email, 21-Oct-2026 PST: Chad confirmed inspection remains pending; Abhijeet acknowledged and will provide the updated SKU list after completion. Prior AirRob operational-support evidence retained.</t>
  </si>
  <si>
    <t>Deployment schedule and cost allocation approved / travel submitted; shipment receipt, Wi-Fi readiness, onsite execution, testing, and acceptance pending</t>
  </si>
  <si>
    <t>2026-10-08</t>
  </si>
  <si>
    <t>Target: 04-Dec-2026 onsite closeout, subject to 30-Oct receipt, travel approval, four-week execution, testing, and acceptance</t>
  </si>
  <si>
    <t>Deploy and commission the Memphis barcode-camera AGV solution without disrupting Black Friday operations, while validating software, localization, mechanical changes, Wi-Fi capacity, operator readiness, and production acceptance.</t>
  </si>
  <si>
    <t>David provided an estimated Memphis delivery date of 30-Oct-2026. Jane approved the revised schedule and UF-Ops cost allocation for 4550 Quality Dr., confirmed operator support, and stated that the later deployment will not affect Black Friday volume. Abhijeet submitted an ExpressPro travel request for 09-Nov through 04-Dec. Wi-Fi bandwidth, coverage, roaming, and AGV requirements must be checked before deployment and monitored during testing. The planned four-week sequence covers software and localization, reflector/mapping decisions, mechanical and camera-barcode work, network validation, full-system testing, training, acceptance, and handover.</t>
  </si>
  <si>
    <t>Confirm truck pickup, tracking, 30-Oct delivery, receipt inspection, and missing/damaged-item resolution. Stacy to approve the ExpressPro travel request. Abhijeet to finalize dated milestones, installation/testing windows, 16–20 Nov support, Thanksgiving-week coverage, operator schedule, and contingency. Network team to baseline bandwidth, coverage, roaming, utilization, and AGV performance before and during tests. Inspect and audit all other WCS, robotic, and automation equipment at Memphis during the visit. Pause or adjust testing if warehouse operations are affected.</t>
  </si>
  <si>
    <t>Abhijeet Rathi / Jane Sanchez / Matthew Drummond / David Rodriguez / Neil Zhou / Brant Ji / Mahan Sasani / Jerimar Castaneda / Mo Belleza / Memphis Operations / Network Team / Stacy Nguyen / Anuj Jagetia / Robert Moreno</t>
  </si>
  <si>
    <t>Travel still requires final approval, and shipment receipt and inspection are not confirmed. Peak-season access, Thanksgiving-week availability, network congestion, Wi-Fi coverage or roaming, lithium-battery transport, site readiness, and unresolved test defects could delay acceptance or affect operations.</t>
  </si>
  <si>
    <t>Keep Amber until the AGV is received intact, travel is approved, Wi-Fi readiness passes, support windows are confirmed, and deployment gates begin. Protect Black Friday operations through agreed testing windows, live monitoring, stop criteria, contingency, operator training, and documented acceptance.</t>
  </si>
  <si>
    <t>RE [ReadMe] Memphis Robot Deployment: Black Friday Readiness follow-up email thread, updates through 23-Oct-2026 PST.</t>
  </si>
  <si>
    <t>Temporary operation and onsite POC continuation approved / recurring errors, performance recovery, ROI validation, and support actions remain open</t>
  </si>
  <si>
    <t>2026-08-06</t>
  </si>
  <si>
    <t>TBD - after time-bound POC review, recurring-error resolution, operational acceptance, and ROI decision</t>
  </si>
  <si>
    <t>Run a controlled, time-bound continuation of the XYZ robot, resolve recurring technical issues with vendor support, and determine whether sustained performance and economics justify continued RaaS operation.</t>
  </si>
  <si>
    <t>After the same errors recurred and the 08-Oct container produced an additional loss of approximately $160, XYZ had proposed pausing and removing the equipment and advised against further repairs. Brant subsequently confirmed that Tom approved continued temporary operation. XYZ approved the POC to remain onsite and will provide after-sales support. UNIS will continue paying the original RaaS price and follow up with Thomas at XYZ to resolve the recurring issues. Prior September results remain unfavorable: 13 containers, estimated robot cost of $7,220, customer billing of $5,915, and a $1,305 loss, compared with approximately $2,015 estimated manual profit.</t>
  </si>
  <si>
    <t>Brant and Anuj: engage Thomas/XYZ on the recurring errors, obtain an action plan, target dates, support contacts, and service-response expectations. Define the POC duration, container sample size, uptime, error-rate, cycle-time, labor, safety, quality, cost-per-container, and stop-loss criteria. Operations: use the robot only within the approved POC, record every run and failure, and escalate safety or production impacts immediately. Finance/management: review actual RaaS cost versus customer billing and manual handling at the agreed checkpoint, then decide whether to continue, renegotiate, pause, or remove the robot.</t>
  </si>
  <si>
    <t>Brant Ji / Anuj Jagetia / Neil Zhou / Abhijeet Rathi / Tom Yu / Thomas and XYZ Robotics After-Sales Support / Heacock Operations / Finance / Robert Moreno / Stacy Nguyen</t>
  </si>
  <si>
    <t>Recurring errors and demonstrated negative ROI remain unresolved. Continuing under the original RaaS price creates ongoing loss exposure, while undefined POC duration and success criteria could allow an open-ended trial. Vendor response time, repair effectiveness, operational disruption, safety, space usage, and commercial exit terms require control.</t>
  </si>
  <si>
    <t>Keep Amber and treat continued operation as a conditional POC, not production acceptance. Require written success and stop criteria, dated vendor actions, weekly performance and cost review, and a formal management decision at the end of the trial. Do not authorize additional repair spending or long-term commitment without evidence that technical reliability and economics have improved.</t>
  </si>
  <si>
    <t>Update Regarding XYZ Robot email thread, latest Brant update 19-Oct-2026 PST: Tom approved temporary continued operation, original RaaS pricing remains, XYZ approved onsite POC continuation and after-sales support. Prior ROI evidence: September loss of $1,305 versus approximately $2,015 manual profit; 08-Oct container loss approximately $160.</t>
  </si>
  <si>
    <t>WCS / Robotics / Automation Equipment Audit Program</t>
  </si>
  <si>
    <t>Management direction confirmed / issue-priority approach and onsite audit practice agreed; baseline inventory, tracker, pilot cadence, owners, and post-peak plan pending</t>
  </si>
  <si>
    <t>2026-10-22</t>
  </si>
  <si>
    <t>Ongoing - peak-season issue response and visit-based audits now; broader audit and preventive-maintenance schedule after peak season</t>
  </si>
  <si>
    <t>Create a risk-based equipment-management process that prioritizes known operational issues, captures onsite audit findings, assigns repair ownership, and establishes a sustainable inspection and preventive-maintenance cadence.</t>
  </si>
  <si>
    <t>Neil proposed recurring checks because some equipment problems were not reported promptly by Operations. Robert recommended a baseline assessment, a six-to-eight-week pilot using two-week checks, one shared tracker, assigned Ops contacts, efficient travel planning, and a post-pilot review. Stacy directed the team to prioritize equipment with known issues or daily operational impact during peak season and to audit all WCS, robotic, and automation equipment whenever engineers visit a facility, including Memphis. Neil agreed to this approach, with wider audits after known issues are resolved and after peak season.</t>
  </si>
  <si>
    <t>Abhijeet and Anuj: build the equipment baseline with site, condition, known issue, operational impact, support owner, maintenance need, and target date. Establish one shared tracker and site Ops contacts. During each visit, inspect all relevant equipment at that facility and convert findings into assigned actions. Pilot the two-week review for six to eight weeks, then adjust frequency based on reliability and maintenance evidence. After peak season, schedule remaining sites and preventive maintenance; review recurring faults, repairs, travel effort, and support costs.</t>
  </si>
  <si>
    <t>Abhijeet Rathi / Anuj Jagetia / Neil Zhou / Brant Ji / Robert Moreno / Stacy Nguyen / Site Operations Contacts (TBD) / WCS, Robotics and Automation Support Teams</t>
  </si>
  <si>
    <t>Late or incomplete Operations reporting can hide failures until they disrupt production. The equipment inventory, criticality ranking, site contacts, inspection checklist, travel plan, tracker, target dates, and preventive-maintenance capacity are not yet confirmed. Peak-season workloads may constrain audit resources.</t>
  </si>
  <si>
    <t>Prioritize known issues and daily-operational impact during peak season. Require an audit of all relevant equipment at every planned site visit, starting with Memphis. Approve broader travel and preventive maintenance after peak season based on pilot evidence, risk, cost, and available resources.</t>
  </si>
  <si>
    <t>Equipment Management email thread, 22–24-Oct-2026 PST; management direction from Stacy Nguyen and confirmation from Neil Zhou.</t>
  </si>
  <si>
    <t>On Hold</t>
  </si>
  <si>
    <t>Scoping form incomplete / technical owner and TSC decision blocking assignment</t>
  </si>
  <si>
    <t>TBD - after scoping approval and audit assignment</t>
  </si>
  <si>
    <t>Complete the UNIS LLC SOC 2 Type I audit using a current, approved scope and accountable cybersecurity and network validation.</t>
  </si>
  <si>
    <t>Adam Gentner issued the UNIS Audit Scoping Form through PandaDoc. The form was forwarded to Vincent and the technical team for review. Mike stated that, because he was leaving the company, he should not submit it and highlighted a material scope mismatch: the prior UNIS report appears Security-only, while the System Description and Vanta configuration indicate all five Trust Services Criteria.</t>
  </si>
  <si>
    <t>Assign the current cybersecurity and network owner; confirm whether the audit covers Security only or Security, Availability, Confidentiality, Processing Integrity, and Privacy; reconcile PandaDoc, Vanta, the System Description, controls, and evidence; submit the form; then obtain Johanson audit-team assignment and a revised schedule.</t>
  </si>
  <si>
    <t>Robert Moreno / Stacy Nguyen / Current Cybersecurity and Network Security Owner (TBD) / Adam Gentner / Vincent Tian / Yangyang Yang / Qingmin Li / Zhiwei Liu</t>
  </si>
  <si>
    <t>No accountable technical signatory is confirmed, and the inconsistent TSC scope could misstate the engagement, controls, evidence population, and final report. Audit assignment remains blocked.</t>
  </si>
  <si>
    <t>P1 decision required on technical ownership and TSC scope. Do not submit or sign until the current owner validates the complete form.</t>
  </si>
  <si>
    <t>FW: Adam Gentner sent you Unis LLC Audit Scoping Form, issued 15-Sep-2026 and forwarded for technical review.</t>
  </si>
  <si>
    <t>Security-only versus all-TSC scope mismatch unresolved</t>
  </si>
  <si>
    <t>Establish one approved UNIS Type I scope across the Audit Scoping Form, System Description, Vanta framework, controls, evidence, and final report.</t>
  </si>
  <si>
    <t>Mike identified that the prior-year UNIS SOC 2 report appears limited to Security, while the System Description states all Trust Services Criteria apply and Vanta is configured for all criteria. The intended 2026 report scope has not been formally confirmed by the accountable current owner and Johanson.</t>
  </si>
  <si>
    <t>Obtain management and Johanson confirmation of the intended TSC scope; document the rationale; update the scoping form, System Description, Vanta framework, control matrix, and evidence plan to the same scope; then secure owner validation before submission.</t>
  </si>
  <si>
    <t>Robert Moreno / Stacy Nguyen / Current Cybersecurity and Network Security Owner (TBD) / Adam Gentner / Johanson Audit Team / Vanta Administrator / Control Owners</t>
  </si>
  <si>
    <t>Proceeding with inconsistent scope artifacts could cause testing gaps, rework, an incorrect audit opinion, or further schedule delay.</t>
  </si>
  <si>
    <t>Treat this as a gating scope decision. Keep Red until one TSC position is documented and accepted across all audit artifacts.</t>
  </si>
  <si>
    <t>FW: Adam Gentner sent you Unis LLC Audit Scoping Form; Mike Wang scope-mismatch note.</t>
  </si>
  <si>
    <t>Evidence staged / approved TSC scope and auditor review pending</t>
  </si>
  <si>
    <t>Prepare complete current-year evidence that matches the approved UNIS Type I Trust Services Criteria and supports Johanson testing.</t>
  </si>
  <si>
    <t>Evidence preparation can continue, but formal auditor review remains blocked by the incomplete scoping form, missing technical owner, and unresolved Security-only versus all-TSC decision. Existing evidence may need remapping after the scope decision.</t>
  </si>
  <si>
    <t>Maintain evidence collection; identify the current control owners; resolve the TSC scope; map every control and artifact to the approved criteria; submit the scoping form; then grant the assigned Johanson team access and close review gaps.</t>
  </si>
  <si>
    <t>Evidence may become stale, incomplete, or mapped to the wrong criteria. Delayed assignment compresses auditor review and remediation time.</t>
  </si>
  <si>
    <t>Prioritize ownership and scope resolution before treating evidence readiness as near complete.</t>
  </si>
  <si>
    <t>FW: Adam Gentner sent you Unis LLC Audit Scoping Form; scope and ownership updates through Oct-2026.</t>
  </si>
  <si>
    <t>Critical blocker / scoping form and TSC approval outstanding</t>
  </si>
  <si>
    <t>TBD - after validated scoping submission and assignment</t>
  </si>
  <si>
    <t>Close the UNIS ownership and scope gates so Johanson can assign the audit team and rebaseline the delayed Type I engagement.</t>
  </si>
  <si>
    <t>The Audit Scoping Form was issued and shared with the technical team, but it is not validated or submitted. Mike declined to act as submitter because of his departure and raised the TSC mismatch. The original as-of date has passed, and audit-team assignment remains pending.</t>
  </si>
  <si>
    <t>Name the accountable technical owner; resolve the TSC scope; complete and validate the PandaDoc form; submit it; obtain written audit-team assignment; add the Project Lead, backup auditor, and QA reviewer in Vanta; and publish revised milestones.</t>
  </si>
  <si>
    <t>Robert Moreno / Stacy Nguyen / Current Cybersecurity and Network Security Owner (TBD) / Adam Gentner / Johanson Audit Team / Vanta Administrator</t>
  </si>
  <si>
    <t>The engagement cannot progress to formal assignment. Continued delay may require rebaselining and leave insufficient time for evidence review, remediation, and reporting.</t>
  </si>
  <si>
    <t>Daily P1 tracking until the form, scope decision, assignment, and revised schedule are confirmed.</t>
  </si>
  <si>
    <t>FW: Adam Gentner sent you Unis LLC Audit Scoping Form; PandaDoc form issued 15-Sep-2026.</t>
  </si>
  <si>
    <t>Renewal review pending / ITEM billing and payment allocation open</t>
  </si>
  <si>
    <t>TBD - before Dec-2026 renewal approval</t>
  </si>
  <si>
    <t>Reconcile invoices, payments, entity names, employee scope, commercial terms, and remaining milestones for the UNIS and ITEM engagements.</t>
  </si>
  <si>
    <t>The December 2026 Vanta renewal review is being coordinated with Anthony Knox. The proposed review will cover entity alignment, employee coverage, renewal pricing and terms, and required approvals. Stacy confirmed availability on 28-Oct-2026 from 11:00 AM to 1:00 PM PST; final meeting time and Anthony’s availability remain to be confirmed.</t>
  </si>
  <si>
    <t>Confirm the meeting time; prepare the current contracts, employee counts, entity-transition status, invoices, payment allocation, renewal dates, and pricing questions; obtain updated proposals; reconcile Accounting records; and route final terms for management approval.</t>
  </si>
  <si>
    <t>Robert Moreno / Stacy Nguyen / Anthony Knox / Adam Gentner / Johanson Accounting / ITEM and UNIS Accounting / Legal / Vanta Administrator</t>
  </si>
  <si>
    <t>Incomplete entity and employee data could produce incorrect pricing or contract scope. Unresolved payment allocation or billing names may delay renewal or create duplicate charges.</t>
  </si>
  <si>
    <t>Require written proposals and internal approval before accepting renewal terms or changing contracting entities.</t>
  </si>
  <si>
    <t>Re: UNIS &amp; ITEM Vanta December 2026 Contract Renewal Review, updated 22-Oct-2026 PST.</t>
  </si>
  <si>
    <t>UNIS &amp; ITEM Vanta December 2026 Contract Renewal Review</t>
  </si>
  <si>
    <t>Meeting window proposed / scope and commercial decisions pending</t>
  </si>
  <si>
    <t>TBD - before Dec-2026 contract expiration</t>
  </si>
  <si>
    <t>Finalize the Vanta renewal scope, contracting entities, employee coverage, pricing, terms, owners, and approval path for UNIS and ITEM before the December 2026 expiration.</t>
  </si>
  <si>
    <t>Robert defined the review agenda and expected outcome. Stacy confirmed availability on 28-Oct-2026 from 11:00 AM to 1:00 PM PST after the original 27-Oct window did not align with Anthony’s schedule. The final meeting time is not yet confirmed in the email thread.</t>
  </si>
  <si>
    <t>Confirm Anthony’s availability and issue the final invite; validate contracting entities and proposed transitions; confirm covered employee populations; request renewal pricing and terms; document scope impacts; assign owners and deadlines; and obtain internal approval before expiration.</t>
  </si>
  <si>
    <t>Robert Moreno / Stacy Nguyen / Anthony Knox / Vanta / Legal / Finance / HR / Compliance Owners</t>
  </si>
  <si>
    <t>Scheduling delay, incomplete employee counts, unresolved entity changes, or late commercial approval could reduce negotiation time and risk renewal interruption or incorrect contract scope.</t>
  </si>
  <si>
    <t>Confirm the meeting promptly and require a decision log, updated proposals, and dated approval actions after the review.</t>
  </si>
  <si>
    <t>Implemented / controlled calendaring exception validated</t>
  </si>
  <si>
    <t>TBD - ongoing governance</t>
  </si>
  <si>
    <t>Restrict individual UNIS.CO mailboxes to internal communication while preserving approved, narrowly scoped business exceptions.</t>
  </si>
  <si>
    <t>The internal-only mail-flow control remains active. A calendaring-message exception was configured and validated so external parties and @unis.co users can exchange Microsoft Teams meeting invitations without reopening normal external email.</t>
  </si>
  <si>
    <t>Maintain the standard external-email restriction, document the calendaring exception, monitor rejected traffic, and require change approval for any additional exception.</t>
  </si>
  <si>
    <t>Yangyang Yang / Email Team / Robert Moreno</t>
  </si>
  <si>
    <t>An overly broad exception could weaken the internal-only policy; an overly narrow rule could block legitimate meeting invitations.</t>
  </si>
  <si>
    <t>Keep the workstream Green while the base control remains effective. Review exception evidence during mail-flow governance.</t>
  </si>
  <si>
    <t>Re: Teams Meeting Invites to External Customers thread, updated through 20-Oct-2026 PST.</t>
  </si>
  <si>
    <t>Completed / Ongoing Governance</t>
  </si>
  <si>
    <t>Approved customer and partner domains are supported; prior gaps such as newly identified domains showed the need for ongoing governance.</t>
  </si>
  <si>
    <t>Use a documented onboarding and approval process for every new customer, partner, OTP, and system-notification domain.</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</si>
  <si>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</si>
  <si>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</si>
  <si>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</si>
  <si>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TBD - after routing and pilot acceptance</t>
  </si>
  <si>
    <t>Make UnisTicket and approved shared mailboxes the authoritative channel for operational and customer work, with clear boundaries for collaboration tools.</t>
  </si>
  <si>
    <t>The email review confirms that users create and send Teams meeting invitations directly from Outlook or Teams. UnisTicket does not generate or send meeting invitations. Shared-mailbox routing, queue ownership, and external/customer workflow acceptance remain open.</t>
  </si>
  <si>
    <t>Complete the shared-mailbox-to-ticket queue map, test ticket creation and replies, publish that meeting invitations originate in Outlook or Teams, and obtain operational acceptance for each supported communication path.</t>
  </si>
  <si>
    <t>Lex Yang / Robin Zhu / Gemar Ermac / Mary Smothers / Yangyang Yang / Robert Moreno</t>
  </si>
  <si>
    <t>Users may route invitations through the wrong channel, or customer messages may bypass ticket ownership if shared-mailbox and queue mappings are incomplete.</t>
  </si>
  <si>
    <t>Require documented channel guidance and end-to-end pilot evidence before closing the workflow.</t>
  </si>
  <si>
    <t>UNIS.CO Email Transition records and Teams Meeting Invites thread, updated through 20-Oct-2026 PST.</t>
  </si>
  <si>
    <t>PH migration complete / Phase II roster and dependency validation pending</t>
  </si>
  <si>
    <t>TBD - after Phase II roster approval</t>
  </si>
  <si>
    <t>Maintain an accurate mailbox population and assign each user to the approved UNIS.co or itemonline.co identity without disrupting business services.</t>
  </si>
  <si>
    <t>The original PH migration remains complete. The new Phase II proposal expands planning to non-IT members and to IT users in the US, PH, and China. Final rosters, distribution-group membership, account-retention needs, and system dependencies have not been approved.</t>
  </si>
  <si>
    <t>Obtain the authoritative HR and IT rosters; confirm which users require UNIS.co, itemonline.co, or retained ITEM customer-facing accounts; validate groups, aliases, logins, OTP, Teams, and business applications before cutover.</t>
  </si>
  <si>
    <t>Stacy Nguyen / Tom Yu / Yangyang Yang / Lex Yang / Vee Serra / HR / Help Desk / Robert Moreno</t>
  </si>
  <si>
    <t>Incorrect identity allocation or premature account removal could interrupt customer communication, system access, authentication, or group delivery.</t>
  </si>
  <si>
    <t>Keep this row Amber until the Phase II population, dependencies, retention rules, and rollout sequence are approved.</t>
  </si>
  <si>
    <t>Re: Unis.co Account Migration Phase II thread, updated through 19-Oct-2026 PST.</t>
  </si>
  <si>
    <t>Phase 1 technically complete / operational sign-off pending</t>
  </si>
  <si>
    <t>Technical implementation for the initial rollout is complete. Mary issued user communication reinforcing UnisTicket. Remaining acceptance items are PH Operations channel guidance, client reconfiguration validation, complete ticket-group and exception mapping, and agreement on urgent-request handling during a ticketing outage.</t>
  </si>
  <si>
    <t>Obtain named sign-off from Operations and Customer Service; publish the approved channel guide for UnisTicket, SMS, and authorized email exceptions; close client-validation items; and approve a separately scoped pilot for PH-US direct-email restrictions.</t>
  </si>
  <si>
    <t>Robert Moreno / Mary Smothers / Gemar Ermac / Patrick Pogoy / Michelle Topete / Business Owners / IT</t>
  </si>
  <si>
    <t>Closing Phase 1 before users, exceptions, routing, and contingency procedures are validated could leave hidden communication gaps or drive staff back to direct Outlook follow-ups.</t>
  </si>
  <si>
    <t>Treat technical completion and business acceptance separately. Require explicit sign-off or documented exceptions before closure.</t>
  </si>
  <si>
    <t>PH Operations email workflow and Phase 1 sign-off thread, Sep 24–Oct 4, 2026 PST.</t>
  </si>
  <si>
    <t>User validation and support in progress</t>
  </si>
  <si>
    <t>TBD - after user acceptance</t>
  </si>
  <si>
    <t>The prior account-data exceptions are superseded by the completed migration: 116 accounts were migrated and five HR-approved accounts were excluded. The remaining issue is client-side cache or profile configuration that may continue displaying or sending from the old UNISCO.COM address.</t>
  </si>
  <si>
    <t>Publish reconfiguration guidance; identify affected users; reset or recreate profiles where required; verify sending, receiving, calendars, Teams, mobile access, and aliases; document HelpDesk completion and user acceptance.</t>
  </si>
  <si>
    <t>Yangyang Yang / Billy Rivas / Mel Gutierrez / HelpDesk / Affected Users</t>
  </si>
  <si>
    <t>Incomplete reconfiguration may cause incorrect sender presentation, failed user adoption, duplicate support cases, or confusion over the authoritative address.</t>
  </si>
  <si>
    <t>Track affected users to verified closure and retain UNISCO.COM aliases unless a separately approved change removes them.</t>
  </si>
  <si>
    <t>Yangyang Yang client-reconfiguration update and migration confirmation, Sep 23–24, 2026 PST.</t>
  </si>
  <si>
    <t>PH-US Direct Email Restriction and Ticketing Enforcement</t>
  </si>
  <si>
    <t>Requirements and limited pilot pending / calendaring path validated</t>
  </si>
  <si>
    <t>TBD - after approved pilot</t>
  </si>
  <si>
    <t>Route PH-US operational and customer communications through UnisTicket while preserving approved direct-email exceptions, calendar invitations, and service continuity.</t>
  </si>
  <si>
    <t>The calendaring exception now permits inbound and outbound Teams meeting invitations while normal external email restrictions remain in place. Ticketing does not create or send the invitations. The broader PH-US direct-email enforcement scope, exception roster, and outage fallback remain pending.</t>
  </si>
  <si>
    <t>Finalize the enforcement population and named exceptions; link users to the correct shared-mailbox and ticket queues; use the dedicated Teams-invitation procedure; approve the outage fallback; and run a monitored pilot with rollback criteria.</t>
  </si>
  <si>
    <t>Gemar Ermac / Mary Smothers / Michelle Topete / Lex Yang / Robin Zhu / HR PH / Yangyang Yang / Robert Moreno</t>
  </si>
  <si>
    <t>A broad rule could block critical functions, while unclear channel guidance could drive users to unapproved workarounds or cause meeting-response failures.</t>
  </si>
  <si>
    <t>Approve scope, exceptions, contingency, and pilot evidence before production enforcement. Track the invitation-reply NDR separately.</t>
  </si>
  <si>
    <t>PH Operations restriction records and Teams Meeting Invites thread, updated through 20-Oct-2026 PST.</t>
  </si>
  <si>
    <t>UNIS.CO / ITEMONLINE.CO Domain Migration Phase II</t>
  </si>
  <si>
    <t>Phased strategy proposed / stakeholder approval pending</t>
  </si>
  <si>
    <t>TBD - after scope, roster, and dependency approval</t>
  </si>
  <si>
    <t>Implement a controlled domain strategy for non-IT and global IT users while preserving required ITEM customer-facing identities and system access.</t>
  </si>
  <si>
    <t>Tom directed ITEM internal communication to use itemonline.co and confirmed China members are in scope. Stacy proposed UNIS.co Phase II for non-IT members, itemonline.co Phase I for US and PH IT, and itemonline.co Phase II for China IT. Input from Yangyang, Lex, and Robert is still requested.</t>
  </si>
  <si>
    <t>Approve the domain model; confirm US, PH, China, and non-IT rosters; inventory distribution groups and owners; identify logins and OTP dependencies; preserve required customer-facing ITEM accounts; pilot US/PH IT; then stage China IT with communications and rollback plans.</t>
  </si>
  <si>
    <t>Stacy Nguyen / Tom Yu / Yangyang Yang / Lex Yang / Robert Moreno / Vee Serra / HR / Help Desk / Business Owners</t>
  </si>
  <si>
    <t>Account deactivation could break system administration or customer communication. Unapproved rosters, unclear domain ownership, and cross-region timing could create access and adoption issues.</t>
  </si>
  <si>
    <t>Leadership approval is required for the phased model, retention rules, owners, and cutover gates before provisioning or deactivation.</t>
  </si>
  <si>
    <t>External Microsoft Teams Invitation Workflow</t>
  </si>
  <si>
    <t>Enable controlled external Microsoft Teams meeting invitations without relaxing the standard external-email restriction.</t>
  </si>
  <si>
    <t>Users can create and send invitations directly from Outlook or Teams. @unis.co users can invite external participants, and external users can invite @unis.co recipients after the calendaring exception. Both sides receive the invitation details. Directly replying by email to the invitation produces an NDR for both internal and external users.</t>
  </si>
  <si>
    <t>Confirm the supported response path using Accept, Tentative, Decline, proposed-time, update, and cancellation actions; decide whether direct email replies are intentionally blocked; publish user guidance; validate organizer backup and joining behavior; and monitor the exception.</t>
  </si>
  <si>
    <t>Yangyang Yang / Billy Rivas / Gemar Ermac / Lex Yang / Armin / Cris / Network Support / Robert Moreno</t>
  </si>
  <si>
    <t>Users may assume an emailed reply was delivered when it generated an NDR. A mis-scoped mail-flow exception could either block invitations or permit unintended external email.</t>
  </si>
  <si>
    <t>Keep Amber until the reply behavior is resolved or formally accepted, end-to-end calendar tests pass, and operating guidance is published.</t>
  </si>
  <si>
    <t>Mike Wang, Robert,  Johanson Group, Vanta Team</t>
  </si>
  <si>
    <t>SOC 2 Type I Renewal for UNIS</t>
  </si>
  <si>
    <t>Readiness / audit entity decision pending</t>
  </si>
  <si>
    <t>2026-08-03</t>
  </si>
  <si>
    <t>TBD; Sep 28 as-of date tentative</t>
  </si>
  <si>
    <t>Complete the UNIS SOC 2 Type I audit under the correct legal entity while reusing valid readiness work and avoiding duplicate cost.</t>
  </si>
  <si>
    <t>Security-scope Vanta audit created; System Description submitted Sep 15. Johanson confirmed a $10,000 fee ($5,000 after SOW; $5,000 after draft report) and a typical 4–6 weeks from testing. Scoping form, entity documentation, payment confirmation, and auditor assignment remain open.</t>
  </si>
  <si>
    <t>Return the Audit Scoping Form and updated headcount; obtain legal transition documents and the audit team’s ruling if Unisco.com Inc. is separate from UNIS LLC. Decide reporting entity and as-of date with Stacy, then authorize payment and auditor assignment.</t>
  </si>
  <si>
    <t>Robert Moreno / Mike Wang / Adam Gentner / Johanson Group / Leadership</t>
  </si>
  <si>
    <t>Whether a separate corporation can assume this Type I engagement is unresolved. Missing scoping, legal documents, or payment confirmation may defer the tentative Sep 28 assessment.</t>
  </si>
  <si>
    <t>Approve the UNIS reporting entity, initial $5,000 payment, and revised as-of date once Johanson confirms the legally supported path.</t>
  </si>
  <si>
    <t>Johanson correspondence, Sep 15–22, 2026; Robert follow-up supplied Sep 27. No final ruling on separate-entity transfer.</t>
  </si>
  <si>
    <t>SOC 2 Type II Renewal for ITEM</t>
  </si>
  <si>
    <t>Observation active / entity treatment under review</t>
  </si>
  <si>
    <t>2026-01-21</t>
  </si>
  <si>
    <t>2027-01-20</t>
  </si>
  <si>
    <t>Complete the ITEM SOC 2 Type II audit and align the engagement and final report with Item.com Inc. without interrupting the observation period.</t>
  </si>
  <si>
    <t>Observation continues through Jan 20, 2027. Johanson expects a Change Order and updated System Description and engagement records for Item.com, Inc.; unchanged operations should not automatically require a restart. Treatment of contracts, employees, customers, or operations remaining under ITEM LLC awaits audit-team guidance.</t>
  </si>
  <si>
    <t>Provide legal transition documents and map each in-scope service to its operating entity. Obtain auditor guidance on mixed-entity operations, then review and sign the Change Order. Prepare in November; formal testing follows the observation period.</t>
  </si>
  <si>
    <t>Robert Moreno / Mike Wang / Adam Gentner / Johanson Group / Stacy Nguyen / Legal</t>
  </si>
  <si>
    <t>Mixed-entity operations or incomplete legal and system documentation may affect the reporting entity and final report.</t>
  </si>
  <si>
    <t>Stacy to approve the Change Order after the audit team confirms reporting treatment and any fee or scope effects.</t>
  </si>
  <si>
    <t>Johanson correspondence, Sep 15–22, 2026; Robert follow-up supplied Sep 27.</t>
  </si>
  <si>
    <t>SOC 2 System / Application Scope</t>
  </si>
  <si>
    <t>Scope Defined</t>
  </si>
  <si>
    <t>Define the SOC 2 audit boundary.</t>
  </si>
  <si>
    <t>UNIS SOC 2 Type I system/application scope is largely confirmed.</t>
  </si>
  <si>
    <t>Convert scope into the final control/evidence matrix.</t>
  </si>
  <si>
    <t>Scope omissions or unclear boundaries.</t>
  </si>
  <si>
    <t>Foundation for SOC 2 audit.</t>
  </si>
  <si>
    <t>Prepare SOC 2 audit evidence.</t>
  </si>
  <si>
    <t>Evidence work covers IT Operations, Security, Access, Change, Incident, and related areas.</t>
  </si>
  <si>
    <t>Evidence collection → gap remediation → internal review.</t>
  </si>
  <si>
    <t>Insufficient evidence or inconsistent execution records.</t>
  </si>
  <si>
    <t>Focus on actual execution, not policy only.</t>
  </si>
  <si>
    <t>Framework timing / entity treatment pending</t>
  </si>
  <si>
    <t>Establish GDPR privacy and data-protection framework.</t>
  </si>
  <si>
    <t>GDPR framework has not been purchased or set up in Vanta. Johanson is checking whether work under ITEM LLC can carry forward to Item.com, Inc. and whether framework setup should start before the entity transition.</t>
  </si>
  <si>
    <t>Obtain Johanson’s guidance on evidence reuse and setup timing; align the legal entity and scope with Vanta before approving framework purchase and assessment timing.</t>
  </si>
  <si>
    <t>Premature setup under the wrong entity could cause rework; audit scope and timetable remain undecided.</t>
  </si>
  <si>
    <t>Decide framework timing and ownership once Johanson and leadership confirm the ITEM entity path.</t>
  </si>
  <si>
    <t>UNIS SOC 2 Type I Readiness, Entity and Payment Decision</t>
  </si>
  <si>
    <t>Pre-audit requirements / decision pending</t>
  </si>
  <si>
    <t>2026-09-15</t>
  </si>
  <si>
    <t>TBD - leadership decision</t>
  </si>
  <si>
    <t>Close remaining readiness items and establish a documented audit entity, fee, payment, and start decision.</t>
  </si>
  <si>
    <t>System Description submitted. Johanson confirmed the UNIS Type I fee and advised that Type I is not required before a future Type II. Auditor assignment awaits the scoping form, legal entity documentation, and initial payment confirmation; Sep 28 is tentative.</t>
  </si>
  <si>
    <t>Complete scoping with current headcount and review remaining control evidence. Obtain separate-entity guidance and legal documents; confirm the audit entity, payment, and as-of date before assignment.</t>
  </si>
  <si>
    <t>Robert Moreno / Mike Wang / Adam Gentner / Johanson Group / Vincent / Leadership</t>
  </si>
  <si>
    <t>Outstanding scoping, payment, and separate-entity treatment may delay auditor assignment; evidence applicability also awaits review.</t>
  </si>
  <si>
    <t>Leadership to confirm entity and payment decision; rebaseline the tentative as-of date with Johanson.</t>
  </si>
  <si>
    <t>The vendor collected UNIS and ITEM equipment last Thursday; certificates are expected three to four weeks after pickup.</t>
  </si>
  <si>
    <t>Vincent / Robert Moreno / Mike Wang / Johanson Group</t>
  </si>
  <si>
    <t>Discovery / Planning</t>
  </si>
  <si>
    <t>Plan the transition from ITEM LLC and UNIS LLC to Item.com, Inc. and Unisco.com, Inc. while preserving prepaid value, compliance history, and uninterrupted coverage.</t>
  </si>
  <si>
    <t>New entities and EINs exist, but legal continuity and the operating entity for each in-scope service remain to be documented. Johanson has not confirmed transferring the UNIS engagement to a wholly separate corporation; GDPR framework is not yet set up in Vanta.</t>
  </si>
  <si>
    <t>Gather legal and operating-entity records; coordinate Vanta subscription and evidence options with Johanson’s audit guidance before any entity or framework change.</t>
  </si>
  <si>
    <t>Robert Moreno / Anthony (Vanta) / Adam Gentner (Johanson) / Mike Wang / Leadership / HR / Legal</t>
  </si>
  <si>
    <t>Premature platform or entity changes could break evidence continuity or misstate the reporting entity.</t>
  </si>
  <si>
    <t>Maintain current environments and subscriptions until Vanta and Johanson options are documented and leadership approves the implementation path.</t>
  </si>
  <si>
    <t>Johanson correspondence, Sep 18–22, 2026; Robert follow-up supplied Sep 27; existing Vanta workstream.</t>
  </si>
  <si>
    <t>SOC 2 Legal-Entity Audit Strategy and Fee Decision</t>
  </si>
  <si>
    <t>Partial guidance received / final ruling pending</t>
  </si>
  <si>
    <t>TBD - Johanson response</t>
  </si>
  <si>
    <t>Select a coordinated SOC 2 path for UNIS LLC, ITEM LLC, Unisco.com Inc., and Item.com Inc. that preserves valid work and avoids duplicate audits and fees.</t>
  </si>
  <si>
    <t>Johanson confirmed the UNIS fee, no Type I prerequisite for future Type II, conditional reuse of unchanged audit work, and the ITEM Change Order path. The audit team is still reviewing a wholly separate UNIS corporation, mixed ITEM LLC/Inc. operations, and GDPR carry-forward and timing.</t>
  </si>
  <si>
    <t>Provide legal transition documents and an entity-to-service map. Obtain written audit-team rulings, compare timing and costs, and submit a coordinated UNIS/ITEM/GDPR recommendation to Stacy.</t>
  </si>
  <si>
    <t>Robert Moreno / Adam Gentner / Mike Wang / Stacy Nguyen / Leadership / Legal</t>
  </si>
  <si>
    <t>Deciding before the outstanding legal and audit questions are resolved may require rework or produce a report under the wrong entity.</t>
  </si>
  <si>
    <t>Leadership to approve the final entity, engagement, payment, and GDPR paths after the remaining auditor guidance.</t>
  </si>
  <si>
    <t>Adam Gentner responses, Sep 22, 2026; Robert follow-up supplied Sep 27.</t>
  </si>
  <si>
    <t>Management direction confirmed / issue-priority approach and visit-based audits active; baseline inventory, shared tracker, cadence, site contacts, and post-peak plan remain open</t>
  </si>
  <si>
    <t>Ongoing - peak-season issue response and onsite audits now; broader audit and preventive-maintenance schedule after peak season</t>
  </si>
  <si>
    <t>Create a risk-based equipment-management process that prioritizes known operational issues, captures onsite audit findings and underused assets, assigns owners, and establishes a sustainable inspection, preventive-maintenance, and reuse cadence.</t>
  </si>
  <si>
    <t>Neil proposed recurring checks because equipment problems were not always reported promptly by Operations. Robert recommended a baseline assessment, a six-to-eight-week pilot with two-week checks, one shared tracker, assigned site contacts, efficient travel planning, and a post-pilot review. Stacy directed the team to prioritize known issues and daily operational impact during peak season, audit all WCS, robotic, and automation equipment during each site visit, and schedule wider visits after peak season. Neil agreed. A concrete asset-reuse item has now been identified: the first forklift weight scale built in Fontana is at Heacock, where the site manager indicated it is not needed and moved it aside.</t>
  </si>
  <si>
    <t>Abhijeet and Anuj: build the equipment baseline and shared tracker with site, asset ID, condition, usage, known issue, operational impact, support owner, maintenance need, reuse potential, and target date. Assign an Ops contact at each site. Inspect all relevant equipment during every visit and convert findings into actions. Pilot two-week reviews for six to eight weeks, then adjust the cadence. Add the Heacock forklift scale to the tracker and coordinate its assessment and reuse decision. After peak season, schedule remaining audits and preventive maintenance and review recurring faults, repairs, travel effort, asset reuse, and support costs.</t>
  </si>
  <si>
    <t>Abhijeet Rathi / Anuj Jagetia / Neil Zhou / Brant Ji / Robert Moreno / Stacy Nguyen / Site Operations Contacts (TBD) / WCS, Robotics and Automation Support Teams / Facilities and Asset Management</t>
  </si>
  <si>
    <t>Late Operations reporting can hide failures until they disrupt production. The equipment inventory, asset identifiers, criticality and utilization ranking, site contacts, checklist, tracker, cadence, travel plan, target dates, preventive-maintenance capacity, and asset-disposition controls are not yet complete. Peak-season workloads may constrain audit resources.</t>
  </si>
  <si>
    <t>Keep Amber. Prioritize known failures and daily operational impact during peak season, require an audit of all relevant equipment at each planned visit, and record underused assets for reuse or disposition review. Use the Memphis visit and Heacock forklift-scale case as early execution checkpoints. Approve broader travel and preventive maintenance after peak season based on evidence, risk, cost, and capacity.</t>
  </si>
  <si>
    <t>Equipment Management email thread, 22–24-Oct-2026 PST; management direction from Stacy Nguyen and confirmation from Neil Zhou. Forklift Weight Scale in Heacock email, 25-Oct-2026 PST.</t>
  </si>
  <si>
    <t>Heacock Forklift Weight Scale Reuse and Transfer</t>
  </si>
  <si>
    <t>Scale identified as unused at Heacock / condition, ownership, destination, transfer approval, logistics, calibration, and acceptance pending</t>
  </si>
  <si>
    <t>2026-10-25</t>
  </si>
  <si>
    <t>TBD - after asset assessment, receiving-site confirmation, approval, transfer, calibration, and operational acceptance</t>
  </si>
  <si>
    <t>Preserve value from the unused forklift weight scale by confirming its condition and ownership, selecting a justified receiving site, and completing a safe, controlled, and documented transfer and recommissioning.</t>
  </si>
  <si>
    <t>Neil reported that the first forklift scale was built in Fontana and is now at Heacock. According to the Heacock manager, the site does not need the scale and moved it aside. Neil recommended transferring and reusing it at another location. No receiving site, asset details, condition assessment, transfer approval, cost, schedule, calibration status, or acceptance plan is documented. Neil advised that Abhijeet can provide further details.</t>
  </si>
  <si>
    <t>Abhijeet/Neil: confirm asset ID, model, serial number, ownership, current exact location, photos, working condition, capacity, dimensions, power and mounting needs, software or integration requirements, calibration and certification status, accessories, and removal constraints. Mo/Operations/Facilities: identify candidate sites and validate the business need and site readiness. Finance/Asset Management: confirm book treatment and approval. Select the destination, compare transfer and installation cost with replacement value, approve the move, document chain of custody, transport safely, recalibrate, test, train users, and obtain receiving-site acceptance.</t>
  </si>
  <si>
    <t>Neil Zhou / Abhijeet Rathi / Mo Belleza / Heacock Operations and Manager / Candidate Receiving-Site Operations / Facilities / Asset Management / Finance / Brant Ji / Anuj Jagetia / Robert Moreno / Stacy Nguyen</t>
  </si>
  <si>
    <t>The scale may be damaged, incomplete, uncalibrated, unsupported, or unsuitable for another site. Unknown ownership, specifications, removal requirements, transfer cost, destination readiness, regulatory or measurement requirements, and chain of custody could create safety, accuracy, schedule, or financial risk.</t>
  </si>
  <si>
    <t>Keep Amber until condition and ownership are verified and a receiving site accepts the business case. Do not move or commission the scale without approved handling, transport, installation, calibration, safety, testing, and acceptance controls. If reuse is not economical, route the asset through the formal disposition process.</t>
  </si>
  <si>
    <t>Forklift Weight Scale in Heacock email from Neil Zhou, 25-Oct-2026 PST: scale built in Fontana, currently at Heacock, not needed by Heacock management, and proposed for transfer and reuse; Abhijeet identified as the detailed-information contact.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</si>
</sst>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m\-yyyy"/>
  </numFmts>
  <fonts count="31">
    <font>
      <sz val="11"/>
      <color theme="1"/>
      <name val="宋体"/>
    </font>
    <font>
      <b/>
      <sz val="11"/>
      <color rgb="FFFFFFFF"/>
      <name val="Aptos"/>
    </font>
    <font>
      <sz val="11"/>
      <color rgb="FF1F1F1F"/>
      <name val="Aptos"/>
    </font>
    <font>
      <sz val="11"/>
      <color theme="1"/>
      <name val="宋体"/>
    </font>
    <font>
      <b/>
      <sz val="11"/>
      <color rgb="FF000000"/>
      <name val="Aptos"/>
    </font>
    <font>
      <sz val="10"/>
      <color rgb="FF000000"/>
      <name val="Arial"/>
    </font>
    <font>
      <sz val="9"/>
      <color rgb="FF1F1F1F"/>
      <name val="Times New Roman"/>
      <family val="1"/>
    </font>
    <font>
      <sz val="9"/>
      <color rgb="FF1F1F1F"/>
      <name val="Segoe UI Emoji"/>
      <family val="2"/>
    </font>
    <font>
      <b/>
      <sz val="11"/>
      <color rgb="FFFFFFFF"/>
      <name val="Aptos"/>
      <family val="2"/>
    </font>
    <font>
      <sz val="11"/>
      <color theme="1"/>
      <name val="Aptos"/>
      <family val="2"/>
    </font>
    <font>
      <sz val="11"/>
      <color rgb="FF1F1F1F"/>
      <name val="Aptos"/>
      <family val="2"/>
    </font>
    <font>
      <b/>
      <sz val="10"/>
      <color rgb="FF7F6000"/>
      <name val="Arial"/>
    </font>
    <font>
      <b/>
      <sz val="10"/>
      <color rgb="FF000000"/>
      <name val="Arial"/>
    </font>
    <font>
      <sz val="11"/>
      <color rgb="FF9C6500"/>
      <name val="Aptos"/>
    </font>
    <font>
      <b/>
      <sz val="11"/>
      <color rgb="FF7F6000"/>
      <name val="Aptos"/>
    </font>
    <font>
      <b/>
      <sz val="15"/>
      <color rgb="FFFFFFFF"/>
      <name val="Carlito"/>
      <charset val="134"/>
    </font>
    <font>
      <b/>
      <sz val="10"/>
      <color rgb="FF17365D"/>
      <name val="Carlito"/>
      <charset val="134"/>
    </font>
    <font>
      <b/>
      <sz val="10"/>
      <color rgb="FFFFFFFF"/>
      <name val="Carlito"/>
      <charset val="134"/>
    </font>
    <font>
      <sz val="9"/>
      <color rgb="FF1F1F1F"/>
      <name val="Carlito"/>
      <charset val="134"/>
    </font>
    <font>
      <b/>
      <sz val="9"/>
      <color rgb="FF006100"/>
      <name val="Carlito"/>
      <charset val="134"/>
    </font>
    <font>
      <sz val="9"/>
      <color rgb="FF1F1F1F"/>
      <name val="Segoe UI Symbol"/>
      <family val="2"/>
    </font>
    <font>
      <b/>
      <sz val="9"/>
      <color rgb="FF00B050"/>
      <name val="Carlito"/>
      <charset val="134"/>
    </font>
    <font>
      <b/>
      <sz val="11"/>
      <color rgb="FF000000"/>
      <name val="宋体"/>
    </font>
    <font>
      <b/>
      <sz val="10"/>
      <color rgb="FF006100"/>
      <name val="Arial"/>
    </font>
    <font>
      <sz val="10"/>
      <color rgb="FF7F6000"/>
      <name val="Aptos"/>
    </font>
    <font>
      <b/>
      <sz val="10"/>
      <color rgb="FF7F6000"/>
      <name val="Aptos"/>
    </font>
    <font>
      <b/>
      <sz val="10"/>
      <color rgb="FF9C0006"/>
      <name val="Aptos"/>
    </font>
    <font>
      <sz val="11"/>
      <color rgb="FF000000"/>
      <name val="宋体"/>
    </font>
    <font>
      <sz val="11"/>
      <color rgb="FF000000"/>
      <name val="Aptos"/>
      <family val="2"/>
    </font>
    <font>
      <b/>
      <sz val="10"/>
      <color rgb="FF9C6500"/>
      <name val="Arial"/>
    </font>
    <font>
      <b/>
      <sz val="11"/>
      <color rgb="FFFFFFFF"/>
      <name val="Arial"/>
    </font>
  </fonts>
  <fills count="19">
    <fill>
      <patternFill patternType="none"/>
    </fill>
    <fill>
      <patternFill patternType="gray125"/>
    </fill>
    <fill>
      <patternFill patternType="solid">
        <fgColor rgb="FF1F4E78"/>
      </patternFill>
    </fill>
    <fill>
      <patternFill patternType="solid">
        <fgColor rgb="FFFFE699"/>
      </patternFill>
    </fill>
    <fill>
      <patternFill patternType="solid">
        <fgColor theme="0"/>
      </patternFill>
    </fill>
    <fill>
      <patternFill patternType="solid">
        <fgColor theme="4" tint="0.79985961485641044"/>
        <bgColor indexed="65"/>
      </patternFill>
    </fill>
    <fill>
      <patternFill patternType="solid">
        <fgColor rgb="FFFFF2CC"/>
      </patternFill>
    </fill>
    <fill>
      <patternFill patternType="solid">
        <fgColor rgb="FF17365D"/>
        <bgColor indexed="64"/>
      </patternFill>
    </fill>
    <fill>
      <patternFill patternType="solid">
        <fgColor rgb="FFD9EAF7"/>
        <bgColor indexed="64"/>
      </patternFill>
    </fill>
    <fill>
      <patternFill patternType="solid">
        <fgColor rgb="FF2F75B5"/>
        <bgColor indexed="64"/>
      </patternFill>
    </fill>
    <fill>
      <patternFill patternType="solid">
        <fgColor rgb="FFF3F8FC"/>
        <bgColor indexed="64"/>
      </patternFill>
    </fill>
    <fill>
      <patternFill patternType="solid">
        <fgColor rgb="FFC6EFCE"/>
        <bgColor indexed="64"/>
      </patternFill>
    </fill>
    <fill>
      <patternFill patternType="solid">
        <fgColor rgb="FFC6E0B4"/>
        <bgColor rgb="FF000000"/>
      </patternFill>
    </fill>
    <fill>
      <patternFill patternType="solid">
        <fgColor rgb="FFC6E0B4"/>
      </patternFill>
    </fill>
    <fill>
      <patternFill patternType="solid">
        <fgColor rgb="FFD9E5F3"/>
      </patternFill>
    </fill>
    <fill>
      <patternFill patternType="solid">
        <fgColor rgb="FFFFFFFF"/>
      </patternFill>
    </fill>
    <fill>
      <patternFill patternType="solid">
        <fgColor rgb="FFF4CCCC"/>
      </patternFill>
    </fill>
    <fill>
      <patternFill patternType="solid">
        <fgColor rgb="FF1F4E78"/>
        <bgColor rgb="FF000000"/>
      </patternFill>
    </fill>
    <fill>
      <patternFill patternType="solid">
        <fgColor rgb="FFDCE6F1"/>
        <bgColor rgb="FFDCE6F1"/>
      </patternFill>
    </fill>
  </fills>
  <borders count="13">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style="thin">
        <color rgb="FFD9E2F3"/>
      </top>
      <bottom/>
      <diagonal/>
    </border>
    <border>
      <left style="thin">
        <color rgb="FFA6A6A6"/>
      </left>
      <right/>
      <top style="thin">
        <color rgb="FFA6A6A6"/>
      </top>
      <bottom/>
      <diagonal/>
    </border>
    <border>
      <left/>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95B3D7"/>
      </left>
      <right/>
      <top style="thin">
        <color rgb="FF95B3D7"/>
      </top>
      <bottom/>
      <diagonal/>
    </border>
    <border>
      <left/>
      <right/>
      <top style="thin">
        <color rgb="FF95B3D7"/>
      </top>
      <bottom/>
      <diagonal/>
    </border>
    <border>
      <left/>
      <right style="thin">
        <color rgb="FF95B3D7"/>
      </right>
      <top style="thin">
        <color rgb="FF95B3D7"/>
      </top>
      <bottom/>
      <diagonal/>
    </border>
  </borders>
  <cellStyleXfs count="3">
    <xf numFmtId="0" fontId="0" fillId="0" borderId="0"/>
    <xf numFmtId="0" fontId="3" fillId="0" borderId="0"/>
    <xf numFmtId="9" fontId="3" fillId="0" borderId="0" applyFont="0" applyFill="0" applyBorder="0" applyAlignment="0" applyProtection="0"/>
  </cellStyleXfs>
  <cellXfs count="115">
    <xf numFmtId="0" fontId="0" fillId="0" borderId="0" xfId="0"/>
    <xf numFmtId="0" fontId="0" fillId="0" borderId="0" xfId="0" applyAlignment="1">
      <alignment wrapText="1"/>
    </xf>
    <xf numFmtId="0" fontId="0" fillId="0" borderId="0" xfId="0" applyAlignment="1">
      <alignment vertical="top" wrapText="1"/>
    </xf>
    <xf numFmtId="0" fontId="1" fillId="2" borderId="1" xfId="0" applyFont="1" applyFill="1" applyBorder="1" applyAlignment="1">
      <alignment horizontal="center" vertical="center" wrapText="1"/>
    </xf>
    <xf numFmtId="0" fontId="0" fillId="0" borderId="4" xfId="0" applyBorder="1" applyAlignment="1">
      <alignment wrapText="1"/>
    </xf>
    <xf numFmtId="0" fontId="0" fillId="0" borderId="4" xfId="0" applyBorder="1" applyAlignment="1">
      <alignment vertical="top" wrapText="1"/>
    </xf>
    <xf numFmtId="0" fontId="1" fillId="2" borderId="0" xfId="0" applyFont="1" applyFill="1" applyAlignment="1">
      <alignment horizontal="center" vertical="center" wrapText="1"/>
    </xf>
    <xf numFmtId="0" fontId="2" fillId="0" borderId="4" xfId="0" applyFont="1" applyBorder="1" applyAlignment="1">
      <alignment horizontal="center" vertical="top" wrapText="1"/>
    </xf>
    <xf numFmtId="0" fontId="2" fillId="0" borderId="4" xfId="0" applyFont="1" applyBorder="1" applyAlignment="1">
      <alignment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0" fontId="5" fillId="0" borderId="4" xfId="0" applyFont="1" applyBorder="1" applyAlignment="1">
      <alignment horizontal="center" vertical="top" wrapText="1"/>
    </xf>
    <xf numFmtId="0" fontId="5" fillId="0" borderId="4" xfId="0" applyFont="1" applyBorder="1" applyAlignment="1">
      <alignment horizontal="left" vertical="top" wrapText="1"/>
    </xf>
    <xf numFmtId="164" fontId="5" fillId="0" borderId="4" xfId="0" applyNumberFormat="1" applyFont="1" applyBorder="1" applyAlignment="1">
      <alignment horizontal="center" vertical="top" wrapText="1"/>
    </xf>
    <xf numFmtId="9" fontId="5" fillId="0" borderId="4" xfId="0" applyNumberFormat="1" applyFont="1" applyBorder="1" applyAlignment="1">
      <alignment horizontal="center" vertical="top" wrapText="1"/>
    </xf>
    <xf numFmtId="0" fontId="5" fillId="4" borderId="4" xfId="0" applyFont="1" applyFill="1" applyBorder="1" applyAlignment="1">
      <alignment horizontal="left" vertical="top" wrapText="1"/>
    </xf>
    <xf numFmtId="0" fontId="0" fillId="0" borderId="4" xfId="0" applyBorder="1" applyAlignment="1">
      <alignment horizontal="center" vertical="top" wrapText="1"/>
    </xf>
    <xf numFmtId="164" fontId="0" fillId="0" borderId="4" xfId="0" applyNumberFormat="1" applyBorder="1" applyAlignment="1">
      <alignment horizontal="center" vertical="top" wrapText="1"/>
    </xf>
    <xf numFmtId="9" fontId="0" fillId="0" borderId="4" xfId="0" applyNumberFormat="1" applyBorder="1" applyAlignment="1">
      <alignment horizontal="center" vertical="top" wrapText="1"/>
    </xf>
    <xf numFmtId="0" fontId="5" fillId="3" borderId="4" xfId="0" applyFont="1" applyFill="1" applyBorder="1" applyAlignment="1">
      <alignment horizontal="left" vertical="top" wrapText="1"/>
    </xf>
    <xf numFmtId="9" fontId="2" fillId="0" borderId="4" xfId="0" applyNumberFormat="1" applyFont="1" applyBorder="1" applyAlignment="1">
      <alignment horizontal="center" vertical="top" wrapText="1"/>
    </xf>
    <xf numFmtId="0" fontId="9" fillId="0" borderId="0" xfId="0" applyFont="1"/>
    <xf numFmtId="0" fontId="0" fillId="0" borderId="0" xfId="0" applyAlignment="1">
      <alignment vertical="center" wrapText="1"/>
    </xf>
    <xf numFmtId="0" fontId="2" fillId="0" borderId="2" xfId="0" applyFont="1" applyBorder="1" applyAlignment="1">
      <alignment horizontal="center" vertical="top" wrapText="1"/>
    </xf>
    <xf numFmtId="0" fontId="2" fillId="0" borderId="2" xfId="0" applyFont="1" applyBorder="1" applyAlignment="1">
      <alignment vertical="top" wrapText="1"/>
    </xf>
    <xf numFmtId="164" fontId="2" fillId="0" borderId="2" xfId="0" applyNumberFormat="1" applyFont="1" applyBorder="1" applyAlignment="1">
      <alignment horizontal="center" vertical="top" wrapText="1"/>
    </xf>
    <xf numFmtId="9" fontId="2" fillId="0" borderId="2" xfId="0" applyNumberFormat="1" applyFont="1" applyBorder="1" applyAlignment="1">
      <alignment horizontal="center" vertical="top" wrapText="1"/>
    </xf>
    <xf numFmtId="0" fontId="2" fillId="0" borderId="3" xfId="0" applyFont="1" applyBorder="1" applyAlignment="1">
      <alignment horizontal="center" vertical="top" wrapText="1"/>
    </xf>
    <xf numFmtId="0" fontId="2" fillId="0" borderId="3" xfId="0" applyFont="1" applyBorder="1" applyAlignment="1">
      <alignment vertical="top" wrapText="1"/>
    </xf>
    <xf numFmtId="164" fontId="2" fillId="0" borderId="3" xfId="0" applyNumberFormat="1" applyFont="1" applyBorder="1" applyAlignment="1">
      <alignment horizontal="center" vertical="top" wrapText="1"/>
    </xf>
    <xf numFmtId="9" fontId="2" fillId="0" borderId="3" xfId="0" applyNumberFormat="1" applyFont="1" applyBorder="1" applyAlignment="1">
      <alignment horizontal="center" vertical="top" wrapText="1"/>
    </xf>
    <xf numFmtId="0" fontId="2" fillId="0" borderId="4" xfId="0" applyFont="1" applyBorder="1" applyAlignment="1">
      <alignment horizontal="center" vertical="center" wrapText="1"/>
    </xf>
    <xf numFmtId="0" fontId="2" fillId="0" borderId="4" xfId="0" applyFont="1" applyBorder="1" applyAlignment="1">
      <alignment vertical="center" wrapText="1"/>
    </xf>
    <xf numFmtId="0" fontId="13" fillId="6" borderId="4" xfId="0" applyFont="1" applyFill="1" applyBorder="1" applyAlignment="1">
      <alignment horizontal="center" vertical="center" wrapText="1"/>
    </xf>
    <xf numFmtId="165" fontId="2" fillId="0" borderId="4" xfId="0" applyNumberFormat="1" applyFont="1" applyBorder="1" applyAlignment="1">
      <alignment horizontal="center" vertical="center" wrapText="1"/>
    </xf>
    <xf numFmtId="164" fontId="2" fillId="0" borderId="4" xfId="0" applyNumberFormat="1" applyFont="1" applyBorder="1" applyAlignment="1">
      <alignment horizontal="center" vertical="center" wrapText="1"/>
    </xf>
    <xf numFmtId="9" fontId="2" fillId="0" borderId="4" xfId="0" applyNumberFormat="1" applyFont="1" applyBorder="1" applyAlignment="1">
      <alignment vertical="center" wrapText="1"/>
    </xf>
    <xf numFmtId="0" fontId="0" fillId="0" borderId="4" xfId="0" applyBorder="1" applyAlignment="1">
      <alignment vertical="center" wrapText="1"/>
    </xf>
    <xf numFmtId="0" fontId="15" fillId="7" borderId="0" xfId="0" applyFont="1" applyFill="1" applyAlignment="1">
      <alignment vertical="center"/>
    </xf>
    <xf numFmtId="0" fontId="16" fillId="8" borderId="0" xfId="0" applyFont="1" applyFill="1" applyAlignment="1">
      <alignment vertical="center" wrapText="1"/>
    </xf>
    <xf numFmtId="0" fontId="17" fillId="9" borderId="6" xfId="0" applyFont="1" applyFill="1" applyBorder="1" applyAlignment="1">
      <alignment horizontal="center" vertical="center" wrapText="1"/>
    </xf>
    <xf numFmtId="0" fontId="17" fillId="9" borderId="7" xfId="0" applyFont="1" applyFill="1" applyBorder="1" applyAlignment="1">
      <alignment horizontal="center" vertical="center" wrapText="1"/>
    </xf>
    <xf numFmtId="0" fontId="17" fillId="9" borderId="8" xfId="0" applyFont="1" applyFill="1" applyBorder="1" applyAlignment="1">
      <alignment horizontal="center" vertical="center" wrapText="1"/>
    </xf>
    <xf numFmtId="0" fontId="17" fillId="9" borderId="9" xfId="0" applyFont="1" applyFill="1" applyBorder="1" applyAlignment="1">
      <alignment horizontal="center" vertical="center" wrapText="1"/>
    </xf>
    <xf numFmtId="0" fontId="17" fillId="9" borderId="0" xfId="0" applyFont="1" applyFill="1" applyAlignment="1">
      <alignment vertical="center" wrapText="1"/>
    </xf>
    <xf numFmtId="0" fontId="18" fillId="10" borderId="4" xfId="0" applyFont="1" applyFill="1" applyBorder="1" applyAlignment="1">
      <alignment vertical="top" wrapText="1"/>
    </xf>
    <xf numFmtId="0" fontId="19" fillId="11" borderId="4" xfId="0" applyFont="1" applyFill="1" applyBorder="1" applyAlignment="1">
      <alignment horizontal="center" vertical="top" wrapText="1"/>
    </xf>
    <xf numFmtId="164" fontId="18" fillId="10" borderId="4" xfId="0" applyNumberFormat="1" applyFont="1" applyFill="1" applyBorder="1" applyAlignment="1">
      <alignment vertical="top" wrapText="1"/>
    </xf>
    <xf numFmtId="9" fontId="18" fillId="10" borderId="4" xfId="0" applyNumberFormat="1" applyFont="1" applyFill="1" applyBorder="1" applyAlignment="1">
      <alignment vertical="top" wrapText="1"/>
    </xf>
    <xf numFmtId="0" fontId="18" fillId="10" borderId="2" xfId="0" applyFont="1" applyFill="1" applyBorder="1" applyAlignment="1">
      <alignment horizontal="center" vertical="top" wrapText="1"/>
    </xf>
    <xf numFmtId="9" fontId="18" fillId="10" borderId="2" xfId="0" applyNumberFormat="1" applyFont="1" applyFill="1" applyBorder="1" applyAlignment="1">
      <alignment horizontal="center" vertical="top" wrapText="1"/>
    </xf>
    <xf numFmtId="0" fontId="18" fillId="10" borderId="2" xfId="0" applyFont="1" applyFill="1" applyBorder="1" applyAlignment="1">
      <alignment vertical="top" wrapText="1"/>
    </xf>
    <xf numFmtId="0" fontId="18" fillId="0" borderId="4" xfId="0" applyFont="1" applyBorder="1" applyAlignment="1">
      <alignment vertical="top" wrapText="1"/>
    </xf>
    <xf numFmtId="164" fontId="18" fillId="0" borderId="4" xfId="0" applyNumberFormat="1" applyFont="1" applyBorder="1" applyAlignment="1">
      <alignment vertical="top" wrapText="1"/>
    </xf>
    <xf numFmtId="0" fontId="18" fillId="0" borderId="3" xfId="0" applyFont="1" applyBorder="1" applyAlignment="1">
      <alignment horizontal="center" vertical="top" wrapText="1"/>
    </xf>
    <xf numFmtId="9" fontId="18" fillId="0" borderId="3" xfId="0" applyNumberFormat="1" applyFont="1" applyBorder="1" applyAlignment="1">
      <alignment horizontal="center" vertical="top" wrapText="1"/>
    </xf>
    <xf numFmtId="0" fontId="18" fillId="0" borderId="3" xfId="0" applyFont="1" applyBorder="1" applyAlignment="1">
      <alignment vertical="top" wrapText="1"/>
    </xf>
    <xf numFmtId="0" fontId="18" fillId="10" borderId="3" xfId="0" applyFont="1" applyFill="1" applyBorder="1" applyAlignment="1">
      <alignment horizontal="center" vertical="top" wrapText="1"/>
    </xf>
    <xf numFmtId="9" fontId="18" fillId="10" borderId="3" xfId="0" applyNumberFormat="1" applyFont="1" applyFill="1" applyBorder="1" applyAlignment="1">
      <alignment horizontal="center" vertical="top" wrapText="1"/>
    </xf>
    <xf numFmtId="0" fontId="18" fillId="10" borderId="3" xfId="0" applyFont="1" applyFill="1" applyBorder="1" applyAlignment="1">
      <alignment vertical="top" wrapText="1"/>
    </xf>
    <xf numFmtId="0" fontId="18" fillId="10" borderId="3" xfId="0" quotePrefix="1" applyFont="1" applyFill="1" applyBorder="1" applyAlignment="1">
      <alignment horizontal="center" vertical="top" wrapText="1"/>
    </xf>
    <xf numFmtId="0" fontId="4" fillId="3" borderId="4" xfId="0" applyFont="1" applyFill="1" applyBorder="1" applyAlignment="1">
      <alignment horizontal="center" vertical="center" wrapText="1"/>
    </xf>
    <xf numFmtId="16" fontId="4" fillId="3" borderId="4" xfId="0" applyNumberFormat="1" applyFont="1" applyFill="1" applyBorder="1" applyAlignment="1">
      <alignment horizontal="center" vertical="center" wrapText="1"/>
    </xf>
    <xf numFmtId="165" fontId="2" fillId="0" borderId="4" xfId="0" applyNumberFormat="1" applyFont="1" applyBorder="1" applyAlignment="1">
      <alignment horizontal="center" vertical="top" wrapText="1"/>
    </xf>
    <xf numFmtId="165" fontId="5" fillId="0" borderId="4" xfId="0" applyNumberFormat="1" applyFont="1" applyBorder="1" applyAlignment="1">
      <alignment horizontal="center" vertical="top" wrapText="1"/>
    </xf>
    <xf numFmtId="0" fontId="0" fillId="13" borderId="4" xfId="0" applyFill="1" applyBorder="1" applyAlignment="1">
      <alignment vertical="top" wrapText="1"/>
    </xf>
    <xf numFmtId="0" fontId="0" fillId="3" borderId="4" xfId="0" applyFill="1" applyBorder="1" applyAlignment="1">
      <alignment vertical="top" wrapText="1"/>
    </xf>
    <xf numFmtId="0" fontId="12" fillId="3" borderId="4" xfId="0" applyFont="1" applyFill="1" applyBorder="1" applyAlignment="1">
      <alignment horizontal="left" vertical="top" wrapText="1"/>
    </xf>
    <xf numFmtId="165" fontId="11" fillId="3" borderId="4" xfId="0" applyNumberFormat="1" applyFont="1" applyFill="1" applyBorder="1" applyAlignment="1">
      <alignment horizontal="center" vertical="top" wrapText="1"/>
    </xf>
    <xf numFmtId="0" fontId="14" fillId="3" borderId="4" xfId="0" applyFont="1" applyFill="1" applyBorder="1" applyAlignment="1">
      <alignment horizontal="center" vertical="center" wrapText="1"/>
    </xf>
    <xf numFmtId="0" fontId="4" fillId="13" borderId="4" xfId="0" applyFont="1" applyFill="1" applyBorder="1" applyAlignment="1">
      <alignment horizontal="center" vertical="center" wrapText="1"/>
    </xf>
    <xf numFmtId="165" fontId="22" fillId="13" borderId="4" xfId="0" applyNumberFormat="1" applyFont="1" applyFill="1" applyBorder="1" applyAlignment="1">
      <alignment horizontal="center" vertical="top" wrapText="1"/>
    </xf>
    <xf numFmtId="0" fontId="11" fillId="3" borderId="4" xfId="0" applyFont="1" applyFill="1" applyBorder="1" applyAlignment="1">
      <alignment horizontal="center" vertical="top" wrapText="1"/>
    </xf>
    <xf numFmtId="0" fontId="23" fillId="13" borderId="3" xfId="0" applyFont="1" applyFill="1" applyBorder="1" applyAlignment="1">
      <alignment horizontal="center" vertical="center" wrapText="1"/>
    </xf>
    <xf numFmtId="9" fontId="2" fillId="0" borderId="2" xfId="0" applyNumberFormat="1" applyFont="1" applyBorder="1" applyAlignment="1">
      <alignment horizontal="center" vertical="center" wrapText="1"/>
    </xf>
    <xf numFmtId="0" fontId="2" fillId="14" borderId="5" xfId="0" applyFont="1" applyFill="1" applyBorder="1" applyAlignment="1">
      <alignment horizontal="left" vertical="top" wrapText="1"/>
    </xf>
    <xf numFmtId="9" fontId="2" fillId="0" borderId="3" xfId="0" applyNumberFormat="1" applyFont="1" applyBorder="1" applyAlignment="1">
      <alignment horizontal="center" vertical="center" wrapText="1"/>
    </xf>
    <xf numFmtId="0" fontId="2" fillId="15" borderId="0" xfId="0" applyFont="1" applyFill="1" applyAlignment="1">
      <alignment horizontal="left" vertical="top" wrapText="1"/>
    </xf>
    <xf numFmtId="0" fontId="2" fillId="14" borderId="0" xfId="0" applyFont="1" applyFill="1" applyAlignment="1">
      <alignment horizontal="left" vertical="top" wrapText="1"/>
    </xf>
    <xf numFmtId="164" fontId="11" fillId="3" borderId="3" xfId="0" applyNumberFormat="1" applyFont="1" applyFill="1" applyBorder="1" applyAlignment="1">
      <alignment horizontal="center" vertical="center" wrapText="1"/>
    </xf>
    <xf numFmtId="0" fontId="2" fillId="15" borderId="2" xfId="0" applyFont="1" applyFill="1" applyBorder="1" applyAlignment="1">
      <alignment horizontal="left" vertical="top" wrapText="1"/>
    </xf>
    <xf numFmtId="0" fontId="1" fillId="2" borderId="0" xfId="0" applyFont="1" applyFill="1" applyAlignment="1">
      <alignment horizontal="center" vertical="top" wrapText="1"/>
    </xf>
    <xf numFmtId="0" fontId="24" fillId="3" borderId="4" xfId="0" applyFont="1" applyFill="1" applyBorder="1" applyAlignment="1">
      <alignment horizontal="center" vertical="top" wrapText="1"/>
    </xf>
    <xf numFmtId="0" fontId="25" fillId="3" borderId="4" xfId="0" applyFont="1" applyFill="1" applyBorder="1" applyAlignment="1">
      <alignment horizontal="center" vertical="top" wrapText="1"/>
    </xf>
    <xf numFmtId="0" fontId="26" fillId="16" borderId="4" xfId="0" applyFont="1" applyFill="1" applyBorder="1" applyAlignment="1">
      <alignment horizontal="center" vertical="top" wrapText="1"/>
    </xf>
    <xf numFmtId="0" fontId="8" fillId="17" borderId="10" xfId="0" applyFont="1" applyFill="1" applyBorder="1" applyAlignment="1">
      <alignment horizontal="center" vertical="center" wrapText="1"/>
    </xf>
    <xf numFmtId="0" fontId="8" fillId="17" borderId="11" xfId="0" applyFont="1" applyFill="1" applyBorder="1" applyAlignment="1">
      <alignment horizontal="center" vertical="center" wrapText="1"/>
    </xf>
    <xf numFmtId="0" fontId="8" fillId="17" borderId="12" xfId="0" applyFont="1" applyFill="1" applyBorder="1" applyAlignment="1">
      <alignment horizontal="center" vertical="center" wrapText="1"/>
    </xf>
    <xf numFmtId="0" fontId="10" fillId="18" borderId="0" xfId="0" applyFont="1" applyFill="1" applyAlignment="1">
      <alignment horizontal="center" vertical="top" wrapText="1"/>
    </xf>
    <xf numFmtId="0" fontId="10" fillId="18" borderId="0" xfId="0" applyFont="1" applyFill="1" applyAlignment="1">
      <alignment vertical="top" wrapText="1"/>
    </xf>
    <xf numFmtId="0" fontId="4" fillId="12" borderId="0" xfId="0" applyFont="1" applyFill="1" applyAlignment="1">
      <alignment horizontal="center" vertical="center" wrapText="1"/>
    </xf>
    <xf numFmtId="9" fontId="10" fillId="18" borderId="0" xfId="0" applyNumberFormat="1" applyFont="1" applyFill="1" applyAlignment="1">
      <alignment horizontal="center" vertical="top" wrapText="1"/>
    </xf>
    <xf numFmtId="0" fontId="10" fillId="0" borderId="0" xfId="0" applyFont="1" applyAlignment="1">
      <alignment horizontal="center" vertical="top" wrapText="1"/>
    </xf>
    <xf numFmtId="0" fontId="10" fillId="0" borderId="0" xfId="0" applyFont="1" applyAlignment="1">
      <alignment vertical="top" wrapText="1"/>
    </xf>
    <xf numFmtId="9" fontId="10" fillId="0" borderId="0" xfId="0" applyNumberFormat="1" applyFont="1" applyAlignment="1">
      <alignment horizontal="center" vertical="top" wrapText="1"/>
    </xf>
    <xf numFmtId="0" fontId="27" fillId="0" borderId="0" xfId="0" applyFont="1" applyAlignment="1">
      <alignment vertical="center" wrapText="1"/>
    </xf>
    <xf numFmtId="0" fontId="28" fillId="0" borderId="0" xfId="0" applyFont="1"/>
    <xf numFmtId="0" fontId="29" fillId="3" borderId="3" xfId="0" applyFont="1" applyFill="1" applyBorder="1" applyAlignment="1">
      <alignment horizontal="center" vertical="center" wrapText="1"/>
    </xf>
    <xf numFmtId="164" fontId="29" fillId="3" borderId="3" xfId="0" applyNumberFormat="1" applyFont="1" applyFill="1" applyBorder="1" applyAlignment="1">
      <alignment horizontal="center" vertical="center" wrapText="1"/>
    </xf>
    <xf numFmtId="0" fontId="2" fillId="0" borderId="3" xfId="0" applyFont="1" applyBorder="1" applyAlignment="1">
      <alignment vertical="center" wrapText="1"/>
    </xf>
    <xf numFmtId="0" fontId="2" fillId="0" borderId="3" xfId="0" applyFont="1" applyBorder="1" applyAlignment="1">
      <alignment horizontal="center" vertical="center" wrapText="1"/>
    </xf>
    <xf numFmtId="164" fontId="2" fillId="0" borderId="3" xfId="0" applyNumberFormat="1" applyFont="1" applyBorder="1" applyAlignment="1">
      <alignment horizontal="center" vertical="center" wrapText="1"/>
    </xf>
    <xf numFmtId="0" fontId="2" fillId="14" borderId="0" xfId="0" applyFont="1" applyFill="1" applyAlignment="1">
      <alignment horizontal="left" vertical="center" wrapText="1"/>
    </xf>
    <xf numFmtId="16" fontId="25" fillId="3" borderId="4" xfId="0" applyNumberFormat="1" applyFont="1" applyFill="1" applyBorder="1" applyAlignment="1">
      <alignment horizontal="center" vertical="top" wrapText="1"/>
    </xf>
    <xf numFmtId="16" fontId="26" fillId="16" borderId="4" xfId="0" applyNumberFormat="1" applyFont="1" applyFill="1" applyBorder="1" applyAlignment="1">
      <alignment horizontal="center" vertical="top" wrapText="1"/>
    </xf>
    <xf numFmtId="0" fontId="2" fillId="5" borderId="4" xfId="0" applyFont="1" applyFill="1" applyBorder="1" applyAlignment="1">
      <alignment horizontal="center" vertical="top" wrapText="1"/>
    </xf>
    <xf numFmtId="165" fontId="0" fillId="0" borderId="4" xfId="0" applyNumberFormat="1" applyBorder="1" applyAlignment="1">
      <alignment horizontal="center" vertical="top" wrapText="1"/>
    </xf>
    <xf numFmtId="0" fontId="30" fillId="2" borderId="4" xfId="0" applyFont="1" applyFill="1" applyBorder="1" applyAlignment="1">
      <alignment horizontal="center" vertical="top" wrapText="1"/>
    </xf>
    <xf numFmtId="165" fontId="23" fillId="13" borderId="4" xfId="0" applyNumberFormat="1" applyFont="1" applyFill="1" applyBorder="1" applyAlignment="1">
      <alignment horizontal="center" vertical="top" wrapText="1"/>
    </xf>
    <xf numFmtId="0" fontId="12" fillId="3" borderId="4" xfId="0" applyFont="1" applyFill="1" applyBorder="1" applyAlignment="1">
      <alignment horizontal="center" vertical="top" wrapText="1"/>
    </xf>
    <xf numFmtId="16" fontId="4" fillId="13" borderId="4" xfId="0" applyNumberFormat="1" applyFont="1" applyFill="1" applyBorder="1" applyAlignment="1">
      <alignment horizontal="center" vertical="center" wrapText="1"/>
    </xf>
    <xf numFmtId="9" fontId="0" fillId="0" borderId="4" xfId="0" applyNumberFormat="1" applyBorder="1" applyAlignment="1">
      <alignment vertical="top" wrapText="1"/>
    </xf>
    <xf numFmtId="0" fontId="2" fillId="15" borderId="2" xfId="0" applyFont="1" applyFill="1" applyBorder="1" applyAlignment="1">
      <alignment horizontal="left" vertical="center" wrapText="1"/>
    </xf>
    <xf numFmtId="0" fontId="15" fillId="7" borderId="0" xfId="0" applyFont="1" applyFill="1" applyAlignment="1">
      <alignment vertical="center"/>
    </xf>
    <xf numFmtId="0" fontId="16" fillId="8" borderId="0" xfId="0" applyFont="1" applyFill="1" applyAlignment="1">
      <alignment vertical="center" wrapText="1"/>
    </xf>
  </cellXfs>
  <cellStyles count="3">
    <cellStyle name="Normal" xfId="0" builtinId="0"/>
    <cellStyle name="Percent" xfId="2" xr:uid="{00000000-0005-0000-0000-000001000000}"/>
    <cellStyle name="常规" xfId="1" xr:uid="{00000000-0005-0000-0000-000002000000}"/>
  </cellStyles>
  <dxfs count="129">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006100"/>
      </font>
      <fill>
        <patternFill>
          <bgColor rgb="FFC6E0B4"/>
        </patternFill>
      </fill>
    </dxf>
    <dxf>
      <font>
        <b/>
        <color rgb="FF9C6500"/>
      </font>
      <fill>
        <patternFill>
          <bgColor rgb="FFFFF2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006100"/>
      </font>
      <fill>
        <patternFill>
          <bgColor rgb="FFC6E0B4"/>
        </patternFill>
      </fill>
    </dxf>
    <dxf>
      <font>
        <b/>
        <color rgb="FF9C6500"/>
      </font>
      <fill>
        <patternFill>
          <bgColor rgb="FFFFF2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9"/>
        <color rgb="FF006100"/>
        <name val="Carlito"/>
        <charset val="134"/>
        <scheme val="none"/>
      </font>
      <fill>
        <patternFill patternType="solid">
          <fgColor indexed="64"/>
          <bgColor rgb="FFC6EFCE"/>
        </patternFill>
      </fill>
      <alignment horizontal="center"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1A1BB0-309E-488F-B49F-600E48896486}" name="TeamRoadmapTable1" displayName="TeamRoadmapTable1" ref="A1:M7" totalsRowShown="0">
  <autoFilter ref="A1:M7" xr:uid="{A71A1BB0-309E-488F-B49F-600E48896486}"/>
  <tableColumns count="13">
    <tableColumn id="1" xr3:uid="{C980970C-B48D-4335-A7E5-7AA2F6802A24}" name="#" dataDxfId="128"/>
    <tableColumn id="2" xr3:uid="{96D6F9DD-6A4C-4A23-8A2B-F5291F35F77B}" name="Project / Workstream" dataDxfId="127"/>
    <tableColumn id="3" xr3:uid="{888D9B81-A395-47DF-80CE-DA1131D1376F}" name="Status" dataDxfId="126"/>
    <tableColumn id="4" xr3:uid="{CD231B59-4E25-4B82-A1EB-E707CA38F7F6}" name="Start Date" dataDxfId="125"/>
    <tableColumn id="5" xr3:uid="{09DB588B-E2A0-4761-85A9-73F0AAB8C56E}" name="Completion Date" dataDxfId="124"/>
    <tableColumn id="6" xr3:uid="{1A4661DA-45C5-46A1-916F-2F7D6E08BB15}" name="% of Completion" dataDxfId="123"/>
    <tableColumn id="7" xr3:uid="{48DEBC38-3245-436F-B70F-5021B1121FE5}" name="Core Objective" dataDxfId="122"/>
    <tableColumn id="8" xr3:uid="{290E8003-D7B1-4D5D-857D-CBB894CC223E}" name="Current Progress" dataDxfId="121"/>
    <tableColumn id="9" xr3:uid="{BCACD256-A4F8-499C-BFD0-C1A9A8DABF38}" name="Key Next Steps" dataDxfId="120"/>
    <tableColumn id="10" xr3:uid="{5A660B4D-1115-4650-BF44-269E14C2F4B6}" name="Owners / Direct Responsible Individual" dataDxfId="119"/>
    <tableColumn id="11" xr3:uid="{8A1FC045-4525-484D-851C-CE33F806003F}" name="Key Risks / Blockers" dataDxfId="118"/>
    <tableColumn id="12" xr3:uid="{FF19E1D6-D997-457B-AED2-186127759682}" name="Management Attention" dataDxfId="117"/>
    <tableColumn id="13" xr3:uid="{7B618D71-AE79-4B84-AB4E-BE24031BD242}" name="Source / Notes" dataDxfId="11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6DDB0E-551D-443E-A257-FEB2A7898FA9}" name="TeamRoadmapTable52" displayName="TeamRoadmapTable52" ref="A1:M8" totalsRowShown="0">
  <autoFilter ref="A1:M8" xr:uid="{5E6DDB0E-551D-443E-A257-FEB2A7898FA9}"/>
  <tableColumns count="13">
    <tableColumn id="1" xr3:uid="{CCF4AF96-D8F6-4991-9BD9-AAD3AEC8DB45}" name="#"/>
    <tableColumn id="2" xr3:uid="{C0A18929-92F4-433B-9806-CB3B176A0BA2}" name="Project / Workstream"/>
    <tableColumn id="3" xr3:uid="{7B345371-1876-4147-91F3-C099505C2DEC}" name="Status"/>
    <tableColumn id="4" xr3:uid="{B0EB0ED1-0BF9-4A08-8C78-111E8CE7BC0C}" name="RAG Status"/>
    <tableColumn id="5" xr3:uid="{309DAB85-2DB4-40C5-B068-5FBEE49E36FF}" name="Start Date"/>
    <tableColumn id="6" xr3:uid="{F375AEDE-FE4A-4998-8E24-30D8BD52273F}" name="Completion Date"/>
    <tableColumn id="7" xr3:uid="{0E1A3058-6BA0-43B9-9B52-B37ECE5B9F63}" name="% of Completion"/>
    <tableColumn id="8" xr3:uid="{7CBC97B6-38A2-4813-8DDB-9784AE51E0AD}" name="Core Objective"/>
    <tableColumn id="9" xr3:uid="{665CCFFE-E117-4436-96EA-64C03A03D85B}" name="Current Progress"/>
    <tableColumn id="10" xr3:uid="{0F18D2DD-B64E-4F4C-8DC0-BE94499C9F63}" name="Key Next Steps"/>
    <tableColumn id="11" xr3:uid="{E8BF9247-304E-4163-95D4-35AB8539C76F}" name="Owners / Direct Responsible Individual"/>
    <tableColumn id="12" xr3:uid="{F0D9CEBF-5513-4D85-A3E8-EE3FE8D7DCE0}" name="Key Risks / Blockers"/>
    <tableColumn id="13" xr3:uid="{84A97F29-D3F9-4DFC-8E85-BC3E418AE3C9}" name="Management Atten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5DA8CF1-0749-447D-BE9F-234CC140F3D5}" name="_10IoTTable" displayName="_10IoTTable" ref="A3:M7" totalsRowShown="0">
  <autoFilter ref="A3:M7" xr:uid="{65DA8CF1-0749-447D-BE9F-234CC140F3D5}"/>
  <tableColumns count="13">
    <tableColumn id="1" xr3:uid="{A42FBC5A-5AB7-4E56-8955-D33DD8B39A2F}" name="#" dataDxfId="115"/>
    <tableColumn id="2" xr3:uid="{48895D70-CD40-454C-BCF6-E71E20E1B5D7}" name="Project / Workstream" dataDxfId="114"/>
    <tableColumn id="3" xr3:uid="{7042EA98-2297-45CD-8FB8-4DB81434329B}" name="Status" dataDxfId="113"/>
    <tableColumn id="13" xr3:uid="{6ACFE3C6-7C72-4612-B788-1A2EE239387D}" name="RAG Status" dataDxfId="112"/>
    <tableColumn id="4" xr3:uid="{B077331C-655B-4625-B3AE-960E49A8DAA0}" name="Start Date" dataDxfId="111"/>
    <tableColumn id="5" xr3:uid="{14C810B0-8C31-4BAC-B4AA-225493DA4C35}" name="Completion Date" dataDxfId="110"/>
    <tableColumn id="6" xr3:uid="{92E2932C-BBDB-4580-9824-73C127586685}" name="% of Completion" dataDxfId="109"/>
    <tableColumn id="7" xr3:uid="{637CBACF-931B-4A5D-83E3-D8F95A6B569E}" name="Core Objective"/>
    <tableColumn id="8" xr3:uid="{96183204-6BB9-41FA-A03C-6594655716D0}" name="Current Progress"/>
    <tableColumn id="9" xr3:uid="{761E254D-A73D-4E17-B889-C31A24AA6E25}" name="Key Next Steps"/>
    <tableColumn id="10" xr3:uid="{7636D1C9-D72D-4105-8567-EBA8CD4E69C8}" name="Owner / Responsible"/>
    <tableColumn id="11" xr3:uid="{BA27276F-261A-4A04-A957-CB4FBB0F4B6E}" name="Key Risks / Blockers"/>
    <tableColumn id="12" xr3:uid="{7819FF11-4557-4047-9653-D7D6CC7ACE48}" name="Management Attention"/>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608F297-8742-4FB9-9E04-B1157A41375B}" name="TeamRoadmapTable5" displayName="TeamRoadmapTable5" ref="A1:M8" totalsRowShown="0">
  <autoFilter ref="A1:M8" xr:uid="{C608F297-8742-4FB9-9E04-B1157A41375B}"/>
  <tableColumns count="13">
    <tableColumn id="1" xr3:uid="{5FD14C3B-893F-4F75-8E09-AD96DF0442A4}" name="#"/>
    <tableColumn id="2" xr3:uid="{CCC28E1F-395D-43ED-BAC4-8E1CF3A6D30B}" name="Project / Workstream"/>
    <tableColumn id="3" xr3:uid="{89A6373D-656C-43ED-9D47-D1F08B03E82D}" name="Status"/>
    <tableColumn id="4" xr3:uid="{D70D11DB-A2F6-4892-A184-0F75CFF8B212}" name="RAG Status"/>
    <tableColumn id="5" xr3:uid="{5C36154E-32C5-428D-A2FA-2AD22BE2DBA1}" name="Start Date"/>
    <tableColumn id="6" xr3:uid="{94EF4D04-1B12-4814-8B32-0E8420DD71F8}" name="Completion Date"/>
    <tableColumn id="7" xr3:uid="{BDAB9FAB-8371-4D73-A199-6621EB8DEEA5}" name="% of Completion"/>
    <tableColumn id="8" xr3:uid="{9E518B2D-8D2F-467D-994B-17C41B13187C}" name="Core Objective"/>
    <tableColumn id="9" xr3:uid="{2B6BD6DC-71C5-4457-B8E3-5DAE4F0EAE73}" name="Current Progress"/>
    <tableColumn id="10" xr3:uid="{41B16784-2C67-4544-9C0A-7F447141A29E}" name="Key Next Steps"/>
    <tableColumn id="11" xr3:uid="{A3149908-66F5-4D83-9C25-3373502C8B52}" name="Owners / Direct Responsible Individual"/>
    <tableColumn id="12" xr3:uid="{DB87B251-1E97-4492-840A-E2BBDBA629DD}" name="Key Risks / Blockers"/>
    <tableColumn id="13" xr3:uid="{1943AE03-353F-479B-A74D-7AB14154882C}" name="Management Atten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FD927E-694D-48DB-BDCB-B7EF17D92354}" name="TeamRoadmapTable6" displayName="TeamRoadmapTable6" ref="A1:M12" totalsRowShown="0">
  <autoFilter ref="A1:M12" xr:uid="{EFFD927E-694D-48DB-BDCB-B7EF17D92354}"/>
  <tableColumns count="13">
    <tableColumn id="1" xr3:uid="{FD853018-9160-40B6-AD3A-01FBA01C8180}" name="#" dataDxfId="108"/>
    <tableColumn id="2" xr3:uid="{1082E385-152B-497E-89DE-67429E70E855}" name="Project / Workstream" dataDxfId="107"/>
    <tableColumn id="3" xr3:uid="{DD2D94DC-2FA3-4380-94F7-5B3B8DAB545E}" name="Status" dataDxfId="106"/>
    <tableColumn id="4" xr3:uid="{90563E9B-C25F-4DAB-9B4B-10A06A29FF49}" name="Start Date" dataDxfId="105"/>
    <tableColumn id="5" xr3:uid="{FAB56266-E4E8-457C-8294-2344A83E9AB5}" name="Completion Date" dataDxfId="104"/>
    <tableColumn id="6" xr3:uid="{B5B770EA-2D63-4268-B956-B86A2D96D931}" name="% of Completion" dataDxfId="103"/>
    <tableColumn id="7" xr3:uid="{9C244548-A355-4394-84DF-6C4F9C30B433}" name="Core Objective" dataDxfId="102"/>
    <tableColumn id="8" xr3:uid="{49E7CA11-05AD-4974-9AEA-D42373D9A8C9}" name="Current Progress" dataDxfId="101"/>
    <tableColumn id="9" xr3:uid="{33C40143-39AF-428C-BF9D-AD0CC8CF7C20}" name="Key Next Steps" dataDxfId="100"/>
    <tableColumn id="10" xr3:uid="{171C6211-BEA3-4026-BB75-96BBCCB9F34F}" name="Owners / Direct Responsible Individual" dataDxfId="99"/>
    <tableColumn id="11" xr3:uid="{52ABC80D-1F46-4C95-ADD7-573DD9895B58}" name="Key Risks / Blockers" dataDxfId="98"/>
    <tableColumn id="12" xr3:uid="{71A740DB-BF55-484E-83A5-FB5F077091BA}" name="Management Attention" dataDxfId="97"/>
    <tableColumn id="13" xr3:uid="{0BB4D142-9FDE-40BF-863F-DB4D20B001FC}" name="Source / Notes" dataDxfId="9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EA520-8DED-42FF-AE1D-EA325312A428}" name="TeamRoadmapTable66" displayName="TeamRoadmapTable66" ref="A1:M12" totalsRowShown="0">
  <autoFilter ref="A1:M12" xr:uid="{4F3EA520-8DED-42FF-AE1D-EA325312A428}"/>
  <tableColumns count="13">
    <tableColumn id="1" xr3:uid="{BA6234AF-A2CE-4505-9800-89DF60D8D1B5}" name="#" dataDxfId="95"/>
    <tableColumn id="2" xr3:uid="{0F3C72E8-FDF5-4C3E-8002-181B4941F0E2}" name="Project / Workstream" dataDxfId="94"/>
    <tableColumn id="3" xr3:uid="{9BC4F7F1-CF84-4F48-8BFF-CF42E3B9F023}" name="Status" dataDxfId="93"/>
    <tableColumn id="4" xr3:uid="{CA172084-5F14-449F-ADC0-E3442336F438}" name="Start Date" dataDxfId="92"/>
    <tableColumn id="5" xr3:uid="{5775675D-FA3A-4EFF-BE16-EEEF395FE6EB}" name="Completion Date" dataDxfId="91"/>
    <tableColumn id="6" xr3:uid="{B8FE331E-C500-40B6-A9EF-EA25F25C91DB}" name="% of Completion" dataDxfId="90"/>
    <tableColumn id="7" xr3:uid="{1C903765-1ABA-47D7-8DCC-69299C6DC0EB}" name="Core Objective" dataDxfId="89"/>
    <tableColumn id="8" xr3:uid="{D3FC52C0-445C-43EF-8AAE-45D8FB4561D6}" name="Current Progress" dataDxfId="88"/>
    <tableColumn id="9" xr3:uid="{335B1F4D-C602-4F87-84FD-A1CFD3383BD6}" name="Key Next Steps" dataDxfId="87"/>
    <tableColumn id="10" xr3:uid="{58EF9552-93B5-4FDF-B73F-68B923748B94}" name="Owners / Direct Responsible Individual" dataDxfId="86"/>
    <tableColumn id="11" xr3:uid="{72675B8A-2AA3-4250-95A0-16DF36D3A611}" name="Key Risks / Blockers" dataDxfId="85"/>
    <tableColumn id="12" xr3:uid="{CAC71F88-3105-4513-BA26-1DBF5CA737D2}" name="Management Attention" dataDxfId="84"/>
    <tableColumn id="13" xr3:uid="{E603EA2D-4F37-4288-96B0-5ABDD9AF4C55}" name="Source / Notes" dataDxfId="8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
  <sheetViews>
    <sheetView showGridLines="0" workbookViewId="0">
      <pane ySplit="1" topLeftCell="A2" activePane="bottomLeft" state="frozen"/>
      <selection pane="bottomLeft" activeCell="B2" sqref="B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6" t="s">
        <v>0</v>
      </c>
      <c r="B1" s="6" t="s">
        <v>1</v>
      </c>
      <c r="C1" s="6" t="s">
        <v>2</v>
      </c>
      <c r="D1" s="6" t="s">
        <v>3</v>
      </c>
      <c r="E1" s="6" t="s">
        <v>4</v>
      </c>
      <c r="F1" s="6" t="s">
        <v>347</v>
      </c>
      <c r="G1" s="6" t="s">
        <v>5</v>
      </c>
      <c r="H1" s="6" t="s">
        <v>6</v>
      </c>
      <c r="I1" s="6" t="s">
        <v>7</v>
      </c>
      <c r="J1" s="6" t="s">
        <v>8</v>
      </c>
      <c r="K1" s="6" t="s">
        <v>9</v>
      </c>
      <c r="L1" s="6" t="s">
        <v>10</v>
      </c>
      <c r="M1" s="6" t="s">
        <v>11</v>
      </c>
      <c r="N1" s="1" t="s">
        <v>12</v>
      </c>
    </row>
    <row r="2" spans="1:14" ht="160" customHeight="1">
      <c r="A2" s="31">
        <v>1</v>
      </c>
      <c r="B2" s="32" t="s">
        <v>293</v>
      </c>
      <c r="C2" s="33" t="s">
        <v>294</v>
      </c>
      <c r="D2" s="69" t="s">
        <v>13</v>
      </c>
      <c r="E2" s="34">
        <v>46286</v>
      </c>
      <c r="F2" s="35" t="s">
        <v>295</v>
      </c>
      <c r="G2" s="36">
        <v>0.6</v>
      </c>
      <c r="H2" s="32" t="s">
        <v>296</v>
      </c>
      <c r="I2" s="32" t="s">
        <v>297</v>
      </c>
      <c r="J2" s="32" t="s">
        <v>298</v>
      </c>
      <c r="K2" s="32" t="s">
        <v>410</v>
      </c>
      <c r="L2" s="32" t="s">
        <v>299</v>
      </c>
      <c r="M2" s="32" t="s">
        <v>300</v>
      </c>
      <c r="N2" s="37" t="s">
        <v>411</v>
      </c>
    </row>
    <row r="3" spans="1:14" ht="160" customHeight="1">
      <c r="A3" s="31">
        <v>2</v>
      </c>
      <c r="B3" s="32" t="s">
        <v>16</v>
      </c>
      <c r="C3" s="33" t="s">
        <v>301</v>
      </c>
      <c r="D3" s="69" t="s">
        <v>13</v>
      </c>
      <c r="E3" s="34">
        <v>46286</v>
      </c>
      <c r="F3" s="35" t="s">
        <v>302</v>
      </c>
      <c r="G3" s="36">
        <v>0.85</v>
      </c>
      <c r="H3" s="32" t="s">
        <v>303</v>
      </c>
      <c r="I3" s="32" t="s">
        <v>304</v>
      </c>
      <c r="J3" s="32" t="s">
        <v>305</v>
      </c>
      <c r="K3" s="32" t="s">
        <v>412</v>
      </c>
      <c r="L3" s="32" t="s">
        <v>306</v>
      </c>
      <c r="M3" s="32" t="s">
        <v>307</v>
      </c>
      <c r="N3" s="37" t="s">
        <v>411</v>
      </c>
    </row>
    <row r="4" spans="1:14" ht="160" customHeight="1">
      <c r="A4" s="31">
        <v>3</v>
      </c>
      <c r="B4" s="32" t="s">
        <v>18</v>
      </c>
      <c r="C4" s="33" t="s">
        <v>308</v>
      </c>
      <c r="D4" s="69" t="s">
        <v>13</v>
      </c>
      <c r="E4" s="34">
        <v>46286</v>
      </c>
      <c r="F4" s="35" t="s">
        <v>309</v>
      </c>
      <c r="G4" s="36">
        <v>0.5</v>
      </c>
      <c r="H4" s="32" t="s">
        <v>310</v>
      </c>
      <c r="I4" s="32" t="s">
        <v>311</v>
      </c>
      <c r="J4" s="32" t="s">
        <v>312</v>
      </c>
      <c r="K4" s="32" t="s">
        <v>413</v>
      </c>
      <c r="L4" s="32" t="s">
        <v>313</v>
      </c>
      <c r="M4" s="32" t="s">
        <v>314</v>
      </c>
      <c r="N4" s="37" t="s">
        <v>411</v>
      </c>
    </row>
    <row r="5" spans="1:14" ht="39.65" customHeight="1">
      <c r="A5" s="7">
        <v>4</v>
      </c>
      <c r="B5" s="8" t="s">
        <v>19</v>
      </c>
      <c r="C5" s="7" t="s">
        <v>20</v>
      </c>
      <c r="D5" s="70" t="s">
        <v>21</v>
      </c>
      <c r="E5" s="9" t="s">
        <v>14</v>
      </c>
      <c r="F5" s="9" t="s">
        <v>14</v>
      </c>
      <c r="G5" s="10">
        <v>1</v>
      </c>
      <c r="H5" s="8" t="s">
        <v>22</v>
      </c>
      <c r="I5" s="8" t="s">
        <v>23</v>
      </c>
      <c r="J5" s="8" t="s">
        <v>24</v>
      </c>
      <c r="K5" s="8" t="s">
        <v>414</v>
      </c>
      <c r="L5" s="8" t="s">
        <v>25</v>
      </c>
      <c r="M5" s="8" t="s">
        <v>26</v>
      </c>
      <c r="N5" s="4" t="s">
        <v>27</v>
      </c>
    </row>
    <row r="6" spans="1:14" ht="96" customHeight="1">
      <c r="A6" s="7"/>
      <c r="B6" s="8"/>
      <c r="C6" s="7"/>
      <c r="D6" s="70" t="s">
        <v>21</v>
      </c>
      <c r="E6" s="9"/>
      <c r="F6" s="9"/>
      <c r="G6" s="10"/>
      <c r="H6" s="8"/>
      <c r="I6" s="8"/>
      <c r="J6" s="8"/>
      <c r="K6" s="8"/>
      <c r="L6" s="8"/>
      <c r="M6" s="8"/>
      <c r="N6" s="12" t="s">
        <v>35</v>
      </c>
    </row>
    <row r="7" spans="1:14" ht="96" customHeight="1">
      <c r="A7" s="7"/>
      <c r="B7" s="8"/>
      <c r="C7" s="7"/>
      <c r="D7" s="70" t="s">
        <v>21</v>
      </c>
      <c r="E7" s="9"/>
      <c r="F7" s="9"/>
      <c r="G7" s="10"/>
      <c r="H7" s="8"/>
      <c r="I7" s="8"/>
      <c r="J7" s="8"/>
      <c r="K7" s="8"/>
      <c r="L7" s="8"/>
      <c r="M7" s="8"/>
      <c r="N7" s="12" t="s">
        <v>43</v>
      </c>
    </row>
    <row r="8" spans="1:14" ht="96" customHeight="1">
      <c r="A8" s="11">
        <v>5</v>
      </c>
      <c r="B8" s="12" t="s">
        <v>28</v>
      </c>
      <c r="C8" s="7" t="s">
        <v>315</v>
      </c>
      <c r="D8" s="70" t="s">
        <v>21</v>
      </c>
      <c r="E8" s="13" t="s">
        <v>14</v>
      </c>
      <c r="F8" s="13" t="s">
        <v>14</v>
      </c>
      <c r="G8" s="14">
        <v>0.9</v>
      </c>
      <c r="H8" s="12" t="s">
        <v>29</v>
      </c>
      <c r="I8" s="12" t="s">
        <v>30</v>
      </c>
      <c r="J8" s="12" t="s">
        <v>31</v>
      </c>
      <c r="K8" s="12" t="s">
        <v>32</v>
      </c>
      <c r="L8" s="12" t="s">
        <v>33</v>
      </c>
      <c r="M8" s="12" t="s">
        <v>34</v>
      </c>
      <c r="N8" s="12" t="s">
        <v>35</v>
      </c>
    </row>
    <row r="9" spans="1:14" ht="96" customHeight="1">
      <c r="A9" s="11">
        <v>6</v>
      </c>
      <c r="B9" s="12" t="s">
        <v>36</v>
      </c>
      <c r="C9" s="7" t="s">
        <v>67</v>
      </c>
      <c r="D9" s="70" t="s">
        <v>21</v>
      </c>
      <c r="E9" s="13" t="s">
        <v>14</v>
      </c>
      <c r="F9" s="13" t="s">
        <v>292</v>
      </c>
      <c r="G9" s="14">
        <v>1</v>
      </c>
      <c r="H9" s="12" t="s">
        <v>37</v>
      </c>
      <c r="I9" s="12" t="s">
        <v>38</v>
      </c>
      <c r="J9" s="12" t="s">
        <v>39</v>
      </c>
      <c r="K9" s="12" t="s">
        <v>40</v>
      </c>
      <c r="L9" s="12" t="s">
        <v>41</v>
      </c>
      <c r="M9" s="12" t="s">
        <v>42</v>
      </c>
      <c r="N9" s="12" t="s">
        <v>35</v>
      </c>
    </row>
    <row r="10" spans="1:14" ht="96" customHeight="1">
      <c r="A10" s="11">
        <v>7</v>
      </c>
      <c r="B10" s="12" t="s">
        <v>44</v>
      </c>
      <c r="C10" s="7" t="s">
        <v>45</v>
      </c>
      <c r="D10" s="70" t="s">
        <v>21</v>
      </c>
      <c r="E10" s="13" t="s">
        <v>14</v>
      </c>
      <c r="F10" s="13" t="s">
        <v>14</v>
      </c>
      <c r="G10" s="14">
        <v>1</v>
      </c>
      <c r="H10" s="12" t="s">
        <v>46</v>
      </c>
      <c r="I10" s="12" t="s">
        <v>47</v>
      </c>
      <c r="J10" s="12" t="s">
        <v>48</v>
      </c>
      <c r="K10" s="12" t="s">
        <v>415</v>
      </c>
      <c r="L10" s="12" t="s">
        <v>49</v>
      </c>
      <c r="M10" s="12" t="s">
        <v>50</v>
      </c>
      <c r="N10" s="12" t="s">
        <v>66</v>
      </c>
    </row>
    <row r="11" spans="1:14" ht="62.5">
      <c r="A11" s="11">
        <v>8</v>
      </c>
      <c r="B11" s="12" t="s">
        <v>51</v>
      </c>
      <c r="C11" s="7" t="s">
        <v>67</v>
      </c>
      <c r="D11" s="70" t="s">
        <v>21</v>
      </c>
      <c r="E11" s="13" t="s">
        <v>14</v>
      </c>
      <c r="F11" s="13" t="s">
        <v>14</v>
      </c>
      <c r="G11" s="14">
        <v>1</v>
      </c>
      <c r="H11" s="12" t="s">
        <v>52</v>
      </c>
      <c r="I11" s="12" t="s">
        <v>53</v>
      </c>
      <c r="J11" s="12" t="s">
        <v>54</v>
      </c>
      <c r="K11" s="12" t="s">
        <v>55</v>
      </c>
      <c r="L11" s="12" t="s">
        <v>56</v>
      </c>
      <c r="M11" s="12" t="s">
        <v>57</v>
      </c>
    </row>
    <row r="12" spans="1:14" ht="50">
      <c r="A12" s="11">
        <v>9</v>
      </c>
      <c r="B12" s="12" t="s">
        <v>58</v>
      </c>
      <c r="C12" s="7" t="s">
        <v>67</v>
      </c>
      <c r="D12" s="70" t="s">
        <v>21</v>
      </c>
      <c r="E12" s="13" t="s">
        <v>59</v>
      </c>
      <c r="F12" s="13" t="s">
        <v>14</v>
      </c>
      <c r="G12" s="14">
        <v>1</v>
      </c>
      <c r="H12" s="12" t="s">
        <v>60</v>
      </c>
      <c r="I12" s="12" t="s">
        <v>61</v>
      </c>
      <c r="J12" s="12" t="s">
        <v>62</v>
      </c>
      <c r="K12" s="12" t="s">
        <v>63</v>
      </c>
      <c r="L12" s="12" t="s">
        <v>64</v>
      </c>
      <c r="M12" s="12" t="s">
        <v>65</v>
      </c>
    </row>
  </sheetData>
  <conditionalFormatting sqref="C2:C12">
    <cfRule type="containsText" dxfId="82" priority="5" operator="containsText" text="Completed"/>
    <cfRule type="containsText" dxfId="81" priority="6" operator="containsText" text="In Progress"/>
    <cfRule type="containsText" dxfId="80" priority="7" operator="containsText" text="At Risk"/>
    <cfRule type="containsText" dxfId="79" priority="8" operator="containsText" text="Not Started"/>
  </conditionalFormatting>
  <conditionalFormatting sqref="D2:D4">
    <cfRule type="containsText" dxfId="78" priority="13" operator="containsText" text="Red"/>
    <cfRule type="containsText" dxfId="77" priority="14" operator="containsText" text="Amber"/>
    <cfRule type="containsText" dxfId="76" priority="15" operator="containsText" text="Green"/>
  </conditionalFormatting>
  <conditionalFormatting sqref="D5:D12">
    <cfRule type="containsText" dxfId="75" priority="1" operator="containsText" text="At Risk"/>
    <cfRule type="containsText" dxfId="74" priority="2" operator="containsText" text="Amber"/>
    <cfRule type="containsText" dxfId="73" priority="3" operator="containsText" text="Green"/>
  </conditionalFormatting>
  <conditionalFormatting sqref="F2:F7">
    <cfRule type="dataBar" priority="4">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{22727F57-BF7D-4E43-9593-49D480A2B8C6}</x14:id>
        </ext>
      </extLst>
    </cfRule>
  </conditionalFormatting>
  <dataValidations count="3">
    <dataValidation type="list" sqref="C2:C7" xr:uid="{D7BC36C9-FE77-4EAE-BAB3-7DFA5FE92CBA}">
      <formula1>"Not Started,Pending,In Progress,Ongoing,At Risk,On Hold,Completed,Roadmap,Readiness,Evaluation"</formula1>
    </dataValidation>
    <dataValidation type="decimal" sqref="F2:F7" xr:uid="{C8241067-791C-4033-A795-A0D565FA290C}">
      <formula1>0</formula1>
      <formula2>1</formula2>
    </dataValidation>
    <dataValidation type="list" sqref="D2:D4" xr:uid="{96D8D42E-7949-4492-8E13-445952546487}">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22727F57-BF7D-4E43-9593-49D480A2B8C6}">
            <x14:dataBar>
              <x14:cfvo type="min"/>
              <x14:cfvo type="max"/>
              <x14:negativeFillColor auto="1"/>
              <x14:axisColor auto="1"/>
            </x14:dataBar>
          </x14:cfRule>
          <xm:sqref>F2:F7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1"/>
  <sheetViews>
    <sheetView showGridLines="0" workbookViewId="0">
      <pane ySplit="1" topLeftCell="A2" activePane="bottomLeft" state="frozen"/>
      <selection pane="bottomLeft" activeCell="A2" sqref="A2"/>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 min="14" max="14" width="220" customWidth="1"/>
  </cols>
  <sheetData>
    <row r="1" spans="1:14" ht="29.5" thickBot="1">
      <c r="A1" s="3" t="s">
        <v>0</v>
      </c>
      <c r="B1" s="3" t="s">
        <v>1</v>
      </c>
      <c r="C1" s="3" t="s">
        <v>2</v>
      </c>
      <c r="D1" s="3" t="s">
        <v>3</v>
      </c>
      <c r="E1" s="3" t="s">
        <v>4</v>
      </c>
      <c r="F1" s="3" t="s">
        <v>347</v>
      </c>
      <c r="G1" s="3" t="s">
        <v>5</v>
      </c>
      <c r="H1" s="3" t="s">
        <v>6</v>
      </c>
      <c r="I1" s="3" t="s">
        <v>7</v>
      </c>
      <c r="J1" s="3" t="s">
        <v>8</v>
      </c>
      <c r="K1" s="3" t="s">
        <v>9</v>
      </c>
      <c r="L1" s="3" t="s">
        <v>10</v>
      </c>
      <c r="M1" s="3" t="s">
        <v>11</v>
      </c>
      <c r="N1" s="3" t="s">
        <v>12</v>
      </c>
    </row>
    <row r="2" spans="1:14" ht="203">
      <c r="A2" s="23">
        <v>1</v>
      </c>
      <c r="B2" s="24" t="s">
        <v>124</v>
      </c>
      <c r="C2" s="23" t="s">
        <v>428</v>
      </c>
      <c r="D2" s="97" t="s">
        <v>13</v>
      </c>
      <c r="E2" s="25" t="s">
        <v>14</v>
      </c>
      <c r="F2" s="26" t="s">
        <v>429</v>
      </c>
      <c r="G2" s="74">
        <v>0.8</v>
      </c>
      <c r="H2" s="24" t="s">
        <v>430</v>
      </c>
      <c r="I2" s="24" t="s">
        <v>431</v>
      </c>
      <c r="J2" s="24" t="s">
        <v>432</v>
      </c>
      <c r="K2" s="24" t="s">
        <v>433</v>
      </c>
      <c r="L2" s="24" t="s">
        <v>434</v>
      </c>
      <c r="M2" s="24" t="s">
        <v>435</v>
      </c>
      <c r="N2" s="75" t="s">
        <v>436</v>
      </c>
    </row>
    <row r="3" spans="1:14" ht="116">
      <c r="A3" s="27">
        <v>2</v>
      </c>
      <c r="B3" s="28" t="s">
        <v>125</v>
      </c>
      <c r="C3" s="27" t="s">
        <v>126</v>
      </c>
      <c r="D3" s="73" t="s">
        <v>21</v>
      </c>
      <c r="E3" s="29" t="s">
        <v>14</v>
      </c>
      <c r="F3" s="26" t="s">
        <v>14</v>
      </c>
      <c r="G3" s="76">
        <v>0.9</v>
      </c>
      <c r="H3" s="28" t="s">
        <v>127</v>
      </c>
      <c r="I3" s="28" t="s">
        <v>128</v>
      </c>
      <c r="J3" s="28" t="s">
        <v>129</v>
      </c>
      <c r="K3" s="28" t="s">
        <v>130</v>
      </c>
      <c r="L3" s="28" t="s">
        <v>131</v>
      </c>
      <c r="M3" s="28" t="s">
        <v>132</v>
      </c>
      <c r="N3" s="77" t="s">
        <v>133</v>
      </c>
    </row>
    <row r="4" spans="1:14" ht="246.5">
      <c r="A4" s="27">
        <v>3</v>
      </c>
      <c r="B4" s="28" t="s">
        <v>134</v>
      </c>
      <c r="C4" s="27" t="s">
        <v>437</v>
      </c>
      <c r="D4" s="97" t="s">
        <v>13</v>
      </c>
      <c r="E4" s="29" t="s">
        <v>438</v>
      </c>
      <c r="F4" s="30" t="s">
        <v>439</v>
      </c>
      <c r="G4" s="76">
        <v>0.7</v>
      </c>
      <c r="H4" s="28" t="s">
        <v>440</v>
      </c>
      <c r="I4" s="28" t="s">
        <v>441</v>
      </c>
      <c r="J4" s="28" t="s">
        <v>442</v>
      </c>
      <c r="K4" s="28" t="s">
        <v>443</v>
      </c>
      <c r="L4" s="28" t="s">
        <v>444</v>
      </c>
      <c r="M4" s="28" t="s">
        <v>445</v>
      </c>
      <c r="N4" s="78" t="s">
        <v>446</v>
      </c>
    </row>
    <row r="5" spans="1:14" ht="261">
      <c r="A5" s="27">
        <v>4</v>
      </c>
      <c r="B5" s="28" t="s">
        <v>135</v>
      </c>
      <c r="C5" s="27" t="s">
        <v>447</v>
      </c>
      <c r="D5" s="98" t="s">
        <v>13</v>
      </c>
      <c r="E5" s="29" t="s">
        <v>448</v>
      </c>
      <c r="F5" s="30" t="s">
        <v>449</v>
      </c>
      <c r="G5" s="76">
        <v>0.55000000000000004</v>
      </c>
      <c r="H5" s="28" t="s">
        <v>450</v>
      </c>
      <c r="I5" s="28" t="s">
        <v>451</v>
      </c>
      <c r="J5" s="28" t="s">
        <v>452</v>
      </c>
      <c r="K5" s="28" t="s">
        <v>453</v>
      </c>
      <c r="L5" s="28" t="s">
        <v>454</v>
      </c>
      <c r="M5" s="28" t="s">
        <v>455</v>
      </c>
      <c r="N5" s="77" t="s">
        <v>456</v>
      </c>
    </row>
    <row r="6" spans="1:14" ht="174">
      <c r="A6" s="27">
        <v>5</v>
      </c>
      <c r="B6" s="28" t="s">
        <v>136</v>
      </c>
      <c r="C6" s="27" t="s">
        <v>383</v>
      </c>
      <c r="D6" s="79" t="s">
        <v>13</v>
      </c>
      <c r="E6" s="29" t="s">
        <v>267</v>
      </c>
      <c r="F6" s="30" t="s">
        <v>384</v>
      </c>
      <c r="G6" s="76">
        <v>0.7</v>
      </c>
      <c r="H6" s="28" t="s">
        <v>385</v>
      </c>
      <c r="I6" s="28" t="s">
        <v>386</v>
      </c>
      <c r="J6" s="28" t="s">
        <v>387</v>
      </c>
      <c r="K6" s="28" t="s">
        <v>388</v>
      </c>
      <c r="L6" s="28" t="s">
        <v>389</v>
      </c>
      <c r="M6" s="28" t="s">
        <v>390</v>
      </c>
      <c r="N6" s="78" t="s">
        <v>391</v>
      </c>
    </row>
    <row r="7" spans="1:14" ht="72.5">
      <c r="A7" s="27">
        <v>6</v>
      </c>
      <c r="B7" s="28" t="s">
        <v>138</v>
      </c>
      <c r="C7" s="27" t="s">
        <v>67</v>
      </c>
      <c r="D7" s="73" t="s">
        <v>21</v>
      </c>
      <c r="E7" s="29">
        <v>46234</v>
      </c>
      <c r="F7" s="30" t="s">
        <v>292</v>
      </c>
      <c r="G7" s="76">
        <v>1</v>
      </c>
      <c r="H7" s="28" t="s">
        <v>139</v>
      </c>
      <c r="I7" s="28" t="s">
        <v>140</v>
      </c>
      <c r="J7" s="28" t="s">
        <v>141</v>
      </c>
      <c r="K7" s="28" t="s">
        <v>142</v>
      </c>
      <c r="L7" s="28" t="s">
        <v>143</v>
      </c>
      <c r="M7" s="28" t="s">
        <v>144</v>
      </c>
      <c r="N7" s="77" t="s">
        <v>137</v>
      </c>
    </row>
    <row r="8" spans="1:14" ht="116">
      <c r="A8" s="2">
        <v>7</v>
      </c>
      <c r="B8" s="28" t="s">
        <v>145</v>
      </c>
      <c r="C8" s="27" t="s">
        <v>392</v>
      </c>
      <c r="D8" s="97" t="s">
        <v>13</v>
      </c>
      <c r="E8" s="29">
        <v>46188</v>
      </c>
      <c r="F8" s="30" t="s">
        <v>393</v>
      </c>
      <c r="G8" s="76">
        <v>0.8</v>
      </c>
      <c r="H8" s="28" t="s">
        <v>394</v>
      </c>
      <c r="I8" s="28" t="s">
        <v>395</v>
      </c>
      <c r="J8" s="28" t="s">
        <v>396</v>
      </c>
      <c r="K8" s="28" t="s">
        <v>397</v>
      </c>
      <c r="L8" s="28" t="s">
        <v>398</v>
      </c>
      <c r="M8" s="28" t="s">
        <v>399</v>
      </c>
      <c r="N8" s="78" t="s">
        <v>400</v>
      </c>
    </row>
    <row r="9" spans="1:14" ht="188.5">
      <c r="A9" s="27">
        <v>8</v>
      </c>
      <c r="B9" s="28" t="s">
        <v>290</v>
      </c>
      <c r="C9" s="27" t="s">
        <v>401</v>
      </c>
      <c r="D9" s="79" t="s">
        <v>13</v>
      </c>
      <c r="E9" s="29" t="s">
        <v>291</v>
      </c>
      <c r="F9" s="30" t="s">
        <v>402</v>
      </c>
      <c r="G9" s="76">
        <v>0.7</v>
      </c>
      <c r="H9" s="28" t="s">
        <v>403</v>
      </c>
      <c r="I9" s="28" t="s">
        <v>404</v>
      </c>
      <c r="J9" s="28" t="s">
        <v>405</v>
      </c>
      <c r="K9" s="28" t="s">
        <v>406</v>
      </c>
      <c r="L9" s="28" t="s">
        <v>407</v>
      </c>
      <c r="M9" s="28" t="s">
        <v>408</v>
      </c>
      <c r="N9" s="80" t="s">
        <v>409</v>
      </c>
    </row>
    <row r="10" spans="1:14" ht="27.25" customHeight="1">
      <c r="A10" s="22">
        <v>9</v>
      </c>
      <c r="B10" s="99" t="s">
        <v>457</v>
      </c>
      <c r="C10" s="100" t="s">
        <v>664</v>
      </c>
      <c r="D10" s="97" t="s">
        <v>13</v>
      </c>
      <c r="E10" s="101" t="s">
        <v>459</v>
      </c>
      <c r="F10" s="76" t="s">
        <v>665</v>
      </c>
      <c r="G10" s="76">
        <v>0.3</v>
      </c>
      <c r="H10" s="99" t="s">
        <v>666</v>
      </c>
      <c r="I10" s="99" t="s">
        <v>667</v>
      </c>
      <c r="J10" s="99" t="s">
        <v>668</v>
      </c>
      <c r="K10" s="99" t="s">
        <v>669</v>
      </c>
      <c r="L10" s="99" t="s">
        <v>670</v>
      </c>
      <c r="M10" s="99" t="s">
        <v>671</v>
      </c>
      <c r="N10" s="102" t="s">
        <v>672</v>
      </c>
    </row>
    <row r="11" spans="1:14" ht="92" customHeight="1">
      <c r="A11" s="100">
        <v>10</v>
      </c>
      <c r="B11" s="99" t="s">
        <v>673</v>
      </c>
      <c r="C11" s="100" t="s">
        <v>674</v>
      </c>
      <c r="D11" s="98" t="s">
        <v>13</v>
      </c>
      <c r="E11" s="101" t="s">
        <v>675</v>
      </c>
      <c r="F11" s="76" t="s">
        <v>676</v>
      </c>
      <c r="G11" s="76">
        <v>0.2</v>
      </c>
      <c r="H11" s="99" t="s">
        <v>677</v>
      </c>
      <c r="I11" s="99" t="s">
        <v>678</v>
      </c>
      <c r="J11" s="99" t="s">
        <v>679</v>
      </c>
      <c r="K11" s="99" t="s">
        <v>680</v>
      </c>
      <c r="L11" s="99" t="s">
        <v>681</v>
      </c>
      <c r="M11" s="99" t="s">
        <v>682</v>
      </c>
      <c r="N11" s="112" t="s">
        <v>683</v>
      </c>
    </row>
  </sheetData>
  <conditionalFormatting sqref="C2">
    <cfRule type="containsText" dxfId="72" priority="6" operator="containsText" text="In Progress"/>
    <cfRule type="containsText" dxfId="71" priority="5" operator="containsText" text="Completed"/>
    <cfRule type="containsText" dxfId="70" priority="7" operator="containsText" text="At Risk"/>
    <cfRule type="containsText" dxfId="69" priority="8" operator="containsText" text="Not Started"/>
  </conditionalFormatting>
  <conditionalFormatting sqref="C2:C8">
    <cfRule type="containsText" dxfId="68" priority="11" operator="containsText" text="At Risk"/>
    <cfRule type="containsText" dxfId="67" priority="12" operator="containsText" text="Yellow"/>
    <cfRule type="containsText" dxfId="66" priority="13" operator="containsText" text="Validation Pending"/>
  </conditionalFormatting>
  <conditionalFormatting sqref="D2:D8">
    <cfRule type="containsText" dxfId="65" priority="2" operator="containsText" text="Amber"/>
    <cfRule type="containsText" dxfId="64" priority="3" operator="containsText" text="Green"/>
    <cfRule type="containsText" dxfId="63" priority="1" operator="containsText" text="At Risk"/>
  </conditionalFormatting>
  <conditionalFormatting sqref="F2:F3">
    <cfRule type="dataBar" priority="4">
      <dataBar>
        <cfvo type="min"/>
        <cfvo type="max"/>
        <color rgb="FF5B9BD5"/>
      </dataBar>
    </cfRule>
    <cfRule type="dataBar" priority="9">
      <dataBar>
        <cfvo type="min"/>
        <cfvo type="max"/>
        <color rgb="FF5B9BD5"/>
      </dataBar>
    </cfRule>
    <cfRule type="dataBar" priority="40">
      <dataBar>
        <cfvo type="min"/>
        <cfvo type="max"/>
        <color rgb="FF5B9BD5"/>
      </dataBar>
    </cfRule>
    <cfRule type="dataBar" priority="14">
      <dataBar>
        <cfvo type="min"/>
        <cfvo type="max"/>
        <color rgb="FF5B9BD5"/>
      </dataBar>
    </cfRule>
    <cfRule type="dataBar" priority="36">
      <dataBar>
        <cfvo type="min"/>
        <cfvo type="max"/>
        <color rgb="FF5B9BD5"/>
      </dataBar>
    </cfRule>
    <cfRule type="dataBar" priority="16">
      <dataBar>
        <cfvo type="min"/>
        <cfvo type="max"/>
        <color rgb="FF5B9BD5"/>
      </dataBar>
    </cfRule>
    <cfRule type="dataBar" priority="38">
      <dataBar>
        <cfvo type="min"/>
        <cfvo type="max"/>
        <color rgb="FF5B9BD5"/>
      </dataBar>
    </cfRule>
    <cfRule type="dataBar" priority="18">
      <dataBar>
        <cfvo type="min"/>
        <cfvo type="max"/>
        <color rgb="FF5B9BD5"/>
      </dataBar>
    </cfRule>
    <cfRule type="dataBar" priority="42">
      <dataBar>
        <cfvo type="min"/>
        <cfvo type="max"/>
        <color rgb="FF5B9BD5"/>
      </dataBar>
    </cfRule>
    <cfRule type="dataBar" priority="20">
      <dataBar>
        <cfvo type="min"/>
        <cfvo type="max"/>
        <color rgb="FF5B9BD5"/>
      </dataBar>
    </cfRule>
    <cfRule type="dataBar" priority="44">
      <dataBar>
        <cfvo type="min"/>
        <cfvo type="max"/>
        <color rgb="FF5B9BD5"/>
      </dataBar>
      <extLst>
        <ext xmlns:x14="http://schemas.microsoft.com/office/spreadsheetml/2009/9/main" uri="{B025F937-C7B1-47D3-B67F-A62EFF666E3E}">
          <x14:id>{F346AE5E-FC63-4611-BFE5-94A38AAB7673}</x14:id>
        </ext>
      </extLst>
    </cfRule>
    <cfRule type="dataBar" priority="22">
      <dataBar>
        <cfvo type="min"/>
        <cfvo type="max"/>
        <color rgb="FF5B9BD5"/>
      </dataBar>
    </cfRule>
    <cfRule type="dataBar" priority="28">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30">
      <dataBar>
        <cfvo type="min"/>
        <cfvo type="max"/>
        <color rgb="FF5B9BD5"/>
      </dataBar>
    </cfRule>
    <cfRule type="dataBar" priority="32">
      <dataBar>
        <cfvo type="min"/>
        <cfvo type="max"/>
        <color rgb="FF5B9BD5"/>
      </dataBar>
    </cfRule>
    <cfRule type="dataBar" priority="34">
      <dataBar>
        <cfvo type="min"/>
        <cfvo type="max"/>
        <color rgb="FF5B9BD5"/>
      </dataBar>
    </cfRule>
  </conditionalFormatting>
  <conditionalFormatting sqref="F2:F8">
    <cfRule type="dataBar" priority="10">
      <dataBar>
        <cfvo type="min"/>
        <cfvo type="max"/>
        <color rgb="FF5B9BD5"/>
      </dataBar>
    </cfRule>
    <cfRule type="dataBar" priority="15">
      <dataBar>
        <cfvo type="min"/>
        <cfvo type="max"/>
        <color rgb="FF5B9BD5"/>
      </dataBar>
    </cfRule>
    <cfRule type="dataBar" priority="17">
      <dataBar>
        <cfvo type="min"/>
        <cfvo type="max"/>
        <color rgb="FF5B9BD5"/>
      </dataBar>
    </cfRule>
    <cfRule type="dataBar" priority="19">
      <dataBar>
        <cfvo type="min"/>
        <cfvo type="max"/>
        <color rgb="FF5B9BD5"/>
      </dataBar>
    </cfRule>
    <cfRule type="dataBar" priority="21">
      <dataBar>
        <cfvo type="min"/>
        <cfvo type="max"/>
        <color rgb="FF5B9BD5"/>
      </dataBar>
    </cfRule>
    <cfRule type="dataBar" priority="23">
      <dataBar>
        <cfvo type="min"/>
        <cfvo type="max"/>
        <color rgb="FF5B9BD5"/>
      </dataBar>
    </cfRule>
    <cfRule type="dataBar" priority="29">
      <dataBar>
        <cfvo type="min"/>
        <cfvo type="max"/>
        <color rgb="FF5B9BD5"/>
      </dataBar>
    </cfRule>
    <cfRule type="dataBar" priority="25">
      <dataBar>
        <cfvo type="min"/>
        <cfvo type="max"/>
        <color rgb="FF5B9BD5"/>
      </dataBar>
    </cfRule>
    <cfRule type="dataBar" priority="37">
      <dataBar>
        <cfvo type="min"/>
        <cfvo type="max"/>
        <color rgb="FF5B9BD5"/>
      </dataBar>
    </cfRule>
    <cfRule type="dataBar" priority="31">
      <dataBar>
        <cfvo type="min"/>
        <cfvo type="max"/>
        <color rgb="FF5B9BD5"/>
      </dataBar>
    </cfRule>
    <cfRule type="dataBar" priority="39">
      <dataBar>
        <cfvo type="min"/>
        <cfvo type="max"/>
        <color rgb="FF5B9BD5"/>
      </dataBar>
    </cfRule>
    <cfRule type="dataBar" priority="35">
      <dataBar>
        <cfvo type="min"/>
        <cfvo type="max"/>
        <color rgb="FF5B9BD5"/>
      </dataBar>
    </cfRule>
    <cfRule type="dataBar" priority="41">
      <dataBar>
        <cfvo type="min"/>
        <cfvo type="max"/>
        <color rgb="FF5B9BD5"/>
      </dataBar>
    </cfRule>
    <cfRule type="dataBar" priority="27">
      <dataBar>
        <cfvo type="min"/>
        <cfvo type="max"/>
        <color rgb="FF5B9BD5"/>
      </dataBar>
    </cfRule>
    <cfRule type="dataBar" priority="43">
      <dataBar>
        <cfvo type="min"/>
        <cfvo type="max"/>
        <color rgb="FF5B9BD5"/>
      </dataBar>
    </cfRule>
    <cfRule type="dataBar" priority="33">
      <dataBar>
        <cfvo type="min"/>
        <cfvo type="max"/>
        <color rgb="FF5B9BD5"/>
      </dataBar>
    </cfRule>
    <cfRule type="dataBar" priority="45">
      <dataBar>
        <cfvo type="min"/>
        <cfvo type="max"/>
        <color rgb="FF5B9BD5"/>
      </dataBar>
      <extLst>
        <ext xmlns:x14="http://schemas.microsoft.com/office/spreadsheetml/2009/9/main" uri="{B025F937-C7B1-47D3-B67F-A62EFF666E3E}">
          <x14:id>{BCF0047E-504A-4389-AAD5-9B414C7E9214}</x14:id>
        </ext>
      </extLst>
    </cfRule>
  </conditionalFormatting>
  <dataValidations count="4">
    <dataValidation type="list" sqref="C2" xr:uid="{046FE36A-1E1A-4F55-B7B8-07F97AB39CB5}">
      <formula1>"Not Started,Pending,In Progress,Ongoing,At Risk,On Hold,Completed,Roadmap,Readiness,Evaluation"</formula1>
    </dataValidation>
    <dataValidation type="decimal" sqref="F2:F7" xr:uid="{A628881A-D2AE-4309-B441-947013394ADB}">
      <formula1>0</formula1>
      <formula2>1</formula2>
    </dataValidation>
    <dataValidation type="list" sqref="D2:D8" xr:uid="{B18DF2F0-709B-4627-9F00-748E1EA0600C}">
      <formula1>"Red,Amber,Green"</formula1>
    </dataValidation>
    <dataValidation type="list" sqref="C2:C5" xr:uid="{3AA6362E-2B38-4C51-8701-CB6B8C97B438}">
      <formula1>"Not Started,In Progress,At Risk / In Progress,At Risk / Support Needed,Validation Pending,Yellow – Testing Progressing,On Hold,Completed"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346AE5E-FC63-4611-BFE5-94A38AAB7673}">
            <x14:dataBar>
              <x14:cfvo type="min"/>
              <x14:cfvo type="max"/>
              <x14:negativeFillColor auto="1"/>
              <x14:axisColor auto="1"/>
            </x14:dataBar>
          </x14:cfRule>
          <xm:sqref>F2:F3</xm:sqref>
        </x14:conditionalFormatting>
        <x14:conditionalFormatting xmlns:xm="http://schemas.microsoft.com/office/excel/2006/main">
          <x14:cfRule type="dataBar" id="{BCF0047E-504A-4389-AAD5-9B414C7E9214}">
            <x14:dataBar>
              <x14:cfvo type="min"/>
              <x14:cfvo type="max"/>
              <x14:negativeFillColor auto="1"/>
              <x14:axisColor auto="1"/>
            </x14:dataBar>
          </x14:cfRule>
          <xm:sqref>F2:F8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4" activePane="bottomLeft" state="frozen"/>
      <selection pane="bottomLeft" activeCell="B4" sqref="B4"/>
    </sheetView>
  </sheetViews>
  <sheetFormatPr defaultColWidth="9" defaultRowHeight="14"/>
  <cols>
    <col min="1" max="1" width="7" customWidth="1"/>
    <col min="2" max="2" width="34" customWidth="1"/>
    <col min="3" max="4" width="23" customWidth="1"/>
    <col min="5" max="5" width="14" customWidth="1"/>
    <col min="6" max="6" width="16" customWidth="1"/>
    <col min="7" max="7" width="15" customWidth="1"/>
    <col min="8" max="8" width="44" customWidth="1"/>
    <col min="9" max="10" width="50" customWidth="1"/>
    <col min="11" max="11" width="30" customWidth="1"/>
    <col min="12" max="12" width="42" customWidth="1"/>
    <col min="13" max="13" width="44" customWidth="1"/>
    <col min="14" max="14" width="34" customWidth="1"/>
  </cols>
  <sheetData>
    <row r="1" spans="1:14" ht="34" customHeight="1">
      <c r="A1" s="113" t="s">
        <v>316</v>
      </c>
      <c r="B1" s="113"/>
      <c r="C1" s="113"/>
      <c r="D1" s="113"/>
      <c r="E1" s="113"/>
      <c r="F1" s="113"/>
      <c r="G1" s="113"/>
      <c r="H1" s="113"/>
      <c r="I1" s="113"/>
      <c r="J1" s="113"/>
      <c r="K1" s="113"/>
      <c r="L1" s="113"/>
      <c r="M1" s="113"/>
      <c r="N1" s="38"/>
    </row>
    <row r="2" spans="1:14" ht="46" customHeight="1">
      <c r="A2" s="114" t="s">
        <v>317</v>
      </c>
      <c r="B2" s="114"/>
      <c r="C2" s="114"/>
      <c r="D2" s="114"/>
      <c r="E2" s="114"/>
      <c r="F2" s="114"/>
      <c r="G2" s="114"/>
      <c r="H2" s="114"/>
      <c r="I2" s="114"/>
      <c r="J2" s="114"/>
      <c r="K2" s="114"/>
      <c r="L2" s="114"/>
      <c r="M2" s="114"/>
      <c r="N2" s="39"/>
    </row>
    <row r="3" spans="1:14" ht="46" customHeight="1">
      <c r="A3" s="40" t="s">
        <v>0</v>
      </c>
      <c r="B3" s="41" t="s">
        <v>1</v>
      </c>
      <c r="C3" s="41" t="s">
        <v>2</v>
      </c>
      <c r="D3" s="41" t="s">
        <v>3</v>
      </c>
      <c r="E3" s="41" t="s">
        <v>4</v>
      </c>
      <c r="F3" s="41" t="s">
        <v>347</v>
      </c>
      <c r="G3" s="41" t="s">
        <v>5</v>
      </c>
      <c r="H3" s="42" t="s">
        <v>6</v>
      </c>
      <c r="I3" s="42" t="s">
        <v>7</v>
      </c>
      <c r="J3" s="42" t="s">
        <v>8</v>
      </c>
      <c r="K3" s="42" t="s">
        <v>318</v>
      </c>
      <c r="L3" s="42" t="s">
        <v>10</v>
      </c>
      <c r="M3" s="43" t="s">
        <v>11</v>
      </c>
      <c r="N3" s="44" t="s">
        <v>12</v>
      </c>
    </row>
    <row r="4" spans="1:14" ht="24">
      <c r="A4" s="45">
        <v>1</v>
      </c>
      <c r="B4" s="45" t="s">
        <v>70</v>
      </c>
      <c r="C4" s="46" t="s">
        <v>420</v>
      </c>
      <c r="D4" s="46" t="s">
        <v>21</v>
      </c>
      <c r="E4" s="47" t="s">
        <v>14</v>
      </c>
      <c r="F4" s="47" t="s">
        <v>14</v>
      </c>
      <c r="G4" s="48">
        <v>1</v>
      </c>
      <c r="H4" s="49" t="s">
        <v>67</v>
      </c>
      <c r="I4" s="49" t="s">
        <v>71</v>
      </c>
      <c r="J4" s="49" t="s">
        <v>72</v>
      </c>
      <c r="K4" s="50" t="s">
        <v>73</v>
      </c>
      <c r="L4" s="51" t="s">
        <v>74</v>
      </c>
      <c r="M4" s="51" t="s">
        <v>75</v>
      </c>
      <c r="N4" s="2" t="s">
        <v>15</v>
      </c>
    </row>
    <row r="5" spans="1:14" ht="46" customHeight="1">
      <c r="A5" s="52">
        <v>2</v>
      </c>
      <c r="B5" s="52" t="s">
        <v>76</v>
      </c>
      <c r="C5" s="46" t="s">
        <v>421</v>
      </c>
      <c r="D5" s="46" t="s">
        <v>21</v>
      </c>
      <c r="E5" s="53" t="s">
        <v>14</v>
      </c>
      <c r="F5" s="53" t="s">
        <v>14</v>
      </c>
      <c r="G5" s="48">
        <v>1</v>
      </c>
      <c r="H5" s="54" t="s">
        <v>67</v>
      </c>
      <c r="I5" s="54" t="s">
        <v>77</v>
      </c>
      <c r="J5" s="54" t="s">
        <v>78</v>
      </c>
      <c r="K5" s="55" t="s">
        <v>73</v>
      </c>
      <c r="L5" s="56" t="s">
        <v>74</v>
      </c>
      <c r="M5" s="56" t="s">
        <v>79</v>
      </c>
      <c r="N5" s="2" t="s">
        <v>15</v>
      </c>
    </row>
    <row r="6" spans="1:14" ht="84">
      <c r="A6" s="45">
        <v>3</v>
      </c>
      <c r="B6" s="45" t="s">
        <v>80</v>
      </c>
      <c r="C6" s="46" t="s">
        <v>422</v>
      </c>
      <c r="D6" s="46" t="s">
        <v>21</v>
      </c>
      <c r="E6" s="47" t="s">
        <v>14</v>
      </c>
      <c r="F6" s="47" t="s">
        <v>14</v>
      </c>
      <c r="G6" s="48">
        <v>1</v>
      </c>
      <c r="H6" s="57" t="s">
        <v>81</v>
      </c>
      <c r="I6" s="57" t="s">
        <v>319</v>
      </c>
      <c r="J6" s="57" t="s">
        <v>82</v>
      </c>
      <c r="K6" s="58" t="s">
        <v>73</v>
      </c>
      <c r="L6" s="59" t="s">
        <v>83</v>
      </c>
      <c r="M6" s="59" t="s">
        <v>84</v>
      </c>
      <c r="N6" s="2" t="e" vm="1">
        <f ca="1">_xlfn.DISPIMG("ID_BFCB287FF50949ACB47F716BD1E40440",1)</f>
        <v>#NAME?</v>
      </c>
    </row>
    <row r="7" spans="1:14" ht="24">
      <c r="A7" s="45">
        <v>4</v>
      </c>
      <c r="B7" s="45" t="s">
        <v>85</v>
      </c>
      <c r="C7" s="46" t="s">
        <v>423</v>
      </c>
      <c r="D7" s="46" t="s">
        <v>21</v>
      </c>
      <c r="E7" s="47" t="s">
        <v>14</v>
      </c>
      <c r="F7" s="47" t="s">
        <v>14</v>
      </c>
      <c r="G7" s="48">
        <v>1</v>
      </c>
      <c r="H7" s="57" t="s">
        <v>67</v>
      </c>
      <c r="I7" s="57" t="s">
        <v>86</v>
      </c>
      <c r="J7" s="57" t="s">
        <v>87</v>
      </c>
      <c r="K7" s="58" t="s">
        <v>88</v>
      </c>
      <c r="L7" s="59" t="s">
        <v>320</v>
      </c>
      <c r="M7" s="59" t="s">
        <v>89</v>
      </c>
      <c r="N7" t="s">
        <v>90</v>
      </c>
    </row>
    <row r="8" spans="1:14" ht="84">
      <c r="A8" s="45">
        <v>5</v>
      </c>
      <c r="B8" s="45" t="s">
        <v>91</v>
      </c>
      <c r="C8" s="46" t="s">
        <v>424</v>
      </c>
      <c r="D8" s="46" t="s">
        <v>21</v>
      </c>
      <c r="E8" s="47" t="s">
        <v>14</v>
      </c>
      <c r="F8" s="47" t="s">
        <v>14</v>
      </c>
      <c r="G8" s="48">
        <v>0.2</v>
      </c>
      <c r="H8" s="57" t="s">
        <v>17</v>
      </c>
      <c r="I8" s="60" t="s">
        <v>425</v>
      </c>
      <c r="J8" s="57" t="s">
        <v>426</v>
      </c>
      <c r="K8" s="58" t="s">
        <v>88</v>
      </c>
      <c r="L8" s="59" t="s">
        <v>427</v>
      </c>
      <c r="M8" s="59" t="s">
        <v>92</v>
      </c>
    </row>
  </sheetData>
  <mergeCells count="2">
    <mergeCell ref="A1:M1"/>
    <mergeCell ref="A2:M2"/>
  </mergeCells>
  <conditionalFormatting sqref="C4:D7">
    <cfRule type="expression" dxfId="62" priority="11">
      <formula>OR(ISNUMBER(SEARCH("At Risk",C4)),ISNUMBER(SEARCH("Security Risk",C4)),ISNUMBER(SEARCH("Blocked",C4)))</formula>
    </cfRule>
    <cfRule type="expression" dxfId="61" priority="12">
      <formula>OR(ISNUMBER(SEARCH("Green",C4)),ISNUMBER(SEARCH("Completed",C4)))</formula>
    </cfRule>
    <cfRule type="expression" dxfId="60" priority="13">
      <formula>AND(C4&lt;&gt;"",NOT(OR(ISNUMBER(SEARCH("At Risk",C4)),ISNUMBER(SEARCH("Security Risk",C4)),ISNUMBER(SEARCH("Blocked",C4)),ISNUMBER(SEARCH("Green",C4)),ISNUMBER(SEARCH("Completed",C4)))))</formula>
    </cfRule>
  </conditionalFormatting>
  <conditionalFormatting sqref="C8:D8">
    <cfRule type="expression" dxfId="59" priority="1">
      <formula>OR(ISNUMBER(SEARCH("At Risk",C8)),ISNUMBER(SEARCH("Security Risk",C8)),ISNUMBER(SEARCH("Blocked",C8)))</formula>
    </cfRule>
    <cfRule type="expression" dxfId="58" priority="2">
      <formula>OR(ISNUMBER(SEARCH("Green",C8)),ISNUMBER(SEARCH("Completed",C8)))</formula>
    </cfRule>
    <cfRule type="expression" dxfId="57" priority="3">
      <formula>AND(C8&lt;&gt;"",NOT(OR(ISNUMBER(SEARCH("At Risk",C8)),ISNUMBER(SEARCH("Security Risk",C8)),ISNUMBER(SEARCH("Blocked",C8)),ISNUMBER(SEARCH("Green",C8)),ISNUMBER(SEARCH("Completed",C8)))))</formula>
    </cfRule>
  </conditionalFormatting>
  <conditionalFormatting sqref="H4:H7">
    <cfRule type="containsText" dxfId="56" priority="14" operator="containsText" text="Completed">
      <formula>NOT(ISERROR(SEARCH("Completed",H4)))</formula>
    </cfRule>
    <cfRule type="containsText" dxfId="55" priority="15" operator="containsText" text="In Progress">
      <formula>NOT(ISERROR(SEARCH("In Progress",H4)))</formula>
    </cfRule>
    <cfRule type="containsText" dxfId="54" priority="16" operator="containsText" text="At Risk">
      <formula>NOT(ISERROR(SEARCH("At Risk",H4)))</formula>
    </cfRule>
    <cfRule type="containsText" dxfId="53" priority="17" operator="containsText" text="Blocked">
      <formula>NOT(ISERROR(SEARCH("Blocked",H4)))</formula>
    </cfRule>
    <cfRule type="containsText" dxfId="52" priority="18" operator="containsText" text="Not Started">
      <formula>NOT(ISERROR(SEARCH("Not Started",H4)))</formula>
    </cfRule>
  </conditionalFormatting>
  <conditionalFormatting sqref="H8">
    <cfRule type="containsText" dxfId="51" priority="4" operator="containsText" text="Completed">
      <formula>NOT(ISERROR(SEARCH("Completed",H8)))</formula>
    </cfRule>
    <cfRule type="containsText" dxfId="50" priority="5" operator="containsText" text="In Progress">
      <formula>NOT(ISERROR(SEARCH("In Progress",H8)))</formula>
    </cfRule>
    <cfRule type="containsText" dxfId="49" priority="6" operator="containsText" text="At Risk">
      <formula>NOT(ISERROR(SEARCH("At Risk",H8)))</formula>
    </cfRule>
    <cfRule type="containsText" dxfId="48" priority="7" operator="containsText" text="Blocked">
      <formula>NOT(ISERROR(SEARCH("Blocked",H8)))</formula>
    </cfRule>
    <cfRule type="containsText" dxfId="47" priority="8" operator="containsText" text="Not Started">
      <formula>NOT(ISERROR(SEARCH("Not Started",H8)))</formula>
    </cfRule>
  </conditionalFormatting>
  <conditionalFormatting sqref="K4:K7">
    <cfRule type="dataBar" priority="19">
      <dataBar>
        <cfvo type="min"/>
        <cfvo type="max"/>
        <color rgb="FF5B9BD5"/>
      </dataBar>
    </cfRule>
    <cfRule type="dataBar" priority="20">
      <dataBar>
        <cfvo type="min"/>
        <cfvo type="max"/>
        <color rgb="FF5B9BD5"/>
      </dataBar>
      <extLst>
        <ext xmlns:x14="http://schemas.microsoft.com/office/spreadsheetml/2009/9/main" uri="{B025F937-C7B1-47D3-B67F-A62EFF666E3E}">
          <x14:id>{B1420BE1-ADE0-41B4-8216-F1DFB29B7953}</x14:id>
        </ext>
      </extLst>
    </cfRule>
  </conditionalFormatting>
  <conditionalFormatting sqref="K8">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{DFF4E5B4-4A5C-4BD4-AE20-D01305B5BDA0}</x14:id>
        </ext>
      </extLst>
    </cfRule>
  </conditionalFormatting>
  <dataValidations count="1">
    <dataValidation type="list" sqref="H4:H8" xr:uid="{27298AD5-6882-4CED-A86B-A258DB36D8EF}">
      <formula1>"Not Started,In Progress,At Risk,Blocked,On Hold,Completed"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1420BE1-ADE0-41B4-8216-F1DFB29B7953}">
            <x14:dataBar>
              <x14:cfvo type="min"/>
              <x14:cfvo type="max"/>
              <x14:negativeFillColor auto="1"/>
              <x14:axisColor auto="1"/>
            </x14:dataBar>
          </x14:cfRule>
          <xm:sqref>K4:K7</xm:sqref>
        </x14:conditionalFormatting>
        <x14:conditionalFormatting xmlns:xm="http://schemas.microsoft.com/office/excel/2006/main">
          <x14:cfRule type="dataBar" id="{DFF4E5B4-4A5C-4BD4-AE20-D01305B5BDA0}">
            <x14:dataBar>
              <x14:cfvo type="min"/>
              <x14:cfvo type="max"/>
              <x14:negativeFillColor auto="1"/>
              <x14:axisColor auto="1"/>
            </x14:dataBar>
          </x14:cfRule>
          <xm:sqref>K8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1"/>
  <sheetViews>
    <sheetView showGridLines="0" workbookViewId="0">
      <pane ySplit="1" topLeftCell="A2" activePane="bottomLeft" state="frozen"/>
      <selection pane="bottomLeft" activeCell="B1" sqref="B1"/>
    </sheetView>
  </sheetViews>
  <sheetFormatPr defaultColWidth="8.7265625" defaultRowHeight="14.5"/>
  <cols>
    <col min="1" max="1" width="6" style="21" customWidth="1"/>
    <col min="2" max="2" width="35" style="21" customWidth="1"/>
    <col min="3" max="4" width="22" style="21" customWidth="1"/>
    <col min="5" max="5" width="14" style="21" customWidth="1"/>
    <col min="6" max="6" width="15.36328125" style="21" customWidth="1"/>
    <col min="7" max="7" width="16" style="21" customWidth="1"/>
    <col min="8" max="8" width="38" style="21" customWidth="1"/>
    <col min="9" max="10" width="54" style="21" customWidth="1"/>
    <col min="11" max="11" width="29" style="21" customWidth="1"/>
    <col min="12" max="12" width="38" style="21" customWidth="1"/>
    <col min="13" max="13" width="36" style="21" customWidth="1"/>
    <col min="14" max="14" width="30" style="21" customWidth="1"/>
    <col min="15" max="16384" width="8.7265625" style="21"/>
  </cols>
  <sheetData>
    <row r="1" spans="1:14" ht="34" customHeight="1">
      <c r="A1" s="85" t="s">
        <v>0</v>
      </c>
      <c r="B1" s="86" t="s">
        <v>1</v>
      </c>
      <c r="C1" s="86" t="s">
        <v>2</v>
      </c>
      <c r="D1" s="86" t="s">
        <v>3</v>
      </c>
      <c r="E1" s="86" t="s">
        <v>4</v>
      </c>
      <c r="F1" s="86" t="s">
        <v>347</v>
      </c>
      <c r="G1" s="86" t="s">
        <v>5</v>
      </c>
      <c r="H1" s="86" t="s">
        <v>6</v>
      </c>
      <c r="I1" s="86" t="s">
        <v>7</v>
      </c>
      <c r="J1" s="86" t="s">
        <v>8</v>
      </c>
      <c r="K1" s="86" t="s">
        <v>9</v>
      </c>
      <c r="L1" s="86" t="s">
        <v>10</v>
      </c>
      <c r="M1" s="86" t="s">
        <v>11</v>
      </c>
      <c r="N1" s="87" t="s">
        <v>12</v>
      </c>
    </row>
    <row r="2" spans="1:14" ht="87">
      <c r="A2" s="88">
        <v>1</v>
      </c>
      <c r="B2" s="89" t="s">
        <v>93</v>
      </c>
      <c r="C2" s="88" t="s">
        <v>17</v>
      </c>
      <c r="D2" s="90" t="s">
        <v>21</v>
      </c>
      <c r="E2" s="88" t="s">
        <v>14</v>
      </c>
      <c r="F2" s="88" t="s">
        <v>14</v>
      </c>
      <c r="G2" s="91">
        <v>0.75</v>
      </c>
      <c r="H2" s="89" t="s">
        <v>94</v>
      </c>
      <c r="I2" s="89" t="s">
        <v>354</v>
      </c>
      <c r="J2" s="89" t="s">
        <v>355</v>
      </c>
      <c r="K2" s="89" t="s">
        <v>95</v>
      </c>
      <c r="L2" s="89" t="s">
        <v>356</v>
      </c>
      <c r="M2" s="89" t="s">
        <v>357</v>
      </c>
      <c r="N2" s="89" t="s">
        <v>358</v>
      </c>
    </row>
    <row r="3" spans="1:14" ht="43.5">
      <c r="A3" s="92">
        <v>2</v>
      </c>
      <c r="B3" s="93" t="s">
        <v>96</v>
      </c>
      <c r="C3" s="92" t="s">
        <v>17</v>
      </c>
      <c r="D3" s="90" t="s">
        <v>21</v>
      </c>
      <c r="E3" s="92" t="s">
        <v>14</v>
      </c>
      <c r="F3" s="92" t="s">
        <v>97</v>
      </c>
      <c r="G3" s="94">
        <v>0.74</v>
      </c>
      <c r="H3" s="93" t="s">
        <v>98</v>
      </c>
      <c r="I3" s="93" t="s">
        <v>359</v>
      </c>
      <c r="J3" s="93" t="s">
        <v>360</v>
      </c>
      <c r="K3" s="93" t="s">
        <v>95</v>
      </c>
      <c r="L3" s="93" t="s">
        <v>361</v>
      </c>
      <c r="M3" s="93" t="s">
        <v>362</v>
      </c>
      <c r="N3" s="93" t="s">
        <v>363</v>
      </c>
    </row>
    <row r="4" spans="1:14" ht="43.5">
      <c r="A4" s="88">
        <v>3</v>
      </c>
      <c r="B4" s="89" t="s">
        <v>99</v>
      </c>
      <c r="C4" s="88" t="s">
        <v>17</v>
      </c>
      <c r="D4" s="90" t="s">
        <v>21</v>
      </c>
      <c r="E4" s="88" t="s">
        <v>14</v>
      </c>
      <c r="F4" s="88" t="s">
        <v>14</v>
      </c>
      <c r="G4" s="91">
        <v>0.13</v>
      </c>
      <c r="H4" s="89" t="s">
        <v>100</v>
      </c>
      <c r="I4" s="89" t="s">
        <v>281</v>
      </c>
      <c r="J4" s="89" t="s">
        <v>282</v>
      </c>
      <c r="K4" s="89" t="s">
        <v>101</v>
      </c>
      <c r="L4" s="89" t="s">
        <v>283</v>
      </c>
      <c r="M4" s="89" t="s">
        <v>284</v>
      </c>
      <c r="N4" s="89" t="s">
        <v>285</v>
      </c>
    </row>
    <row r="5" spans="1:14" ht="58">
      <c r="A5" s="92">
        <v>4</v>
      </c>
      <c r="B5" s="93" t="s">
        <v>102</v>
      </c>
      <c r="C5" s="92" t="s">
        <v>17</v>
      </c>
      <c r="D5" s="90" t="s">
        <v>21</v>
      </c>
      <c r="E5" s="92" t="s">
        <v>14</v>
      </c>
      <c r="F5" s="92" t="s">
        <v>103</v>
      </c>
      <c r="G5" s="94">
        <v>0.55000000000000004</v>
      </c>
      <c r="H5" s="93" t="s">
        <v>104</v>
      </c>
      <c r="I5" s="93" t="s">
        <v>286</v>
      </c>
      <c r="J5" s="93" t="s">
        <v>287</v>
      </c>
      <c r="K5" s="93" t="s">
        <v>95</v>
      </c>
      <c r="L5" s="93" t="s">
        <v>105</v>
      </c>
      <c r="M5" s="93" t="s">
        <v>288</v>
      </c>
      <c r="N5" s="93" t="s">
        <v>289</v>
      </c>
    </row>
    <row r="6" spans="1:14" ht="72.5">
      <c r="A6" s="88">
        <v>5</v>
      </c>
      <c r="B6" s="89" t="s">
        <v>106</v>
      </c>
      <c r="C6" s="88" t="s">
        <v>17</v>
      </c>
      <c r="D6" s="90" t="s">
        <v>21</v>
      </c>
      <c r="E6" s="88" t="s">
        <v>14</v>
      </c>
      <c r="F6" s="88" t="s">
        <v>107</v>
      </c>
      <c r="G6" s="91">
        <v>0.8</v>
      </c>
      <c r="H6" s="89" t="s">
        <v>108</v>
      </c>
      <c r="I6" s="89" t="s">
        <v>364</v>
      </c>
      <c r="J6" s="89" t="s">
        <v>365</v>
      </c>
      <c r="K6" s="89" t="s">
        <v>101</v>
      </c>
      <c r="L6" s="89" t="s">
        <v>366</v>
      </c>
      <c r="M6" s="89" t="s">
        <v>367</v>
      </c>
      <c r="N6" s="89" t="s">
        <v>368</v>
      </c>
    </row>
    <row r="7" spans="1:14" ht="29">
      <c r="A7" s="92">
        <v>6</v>
      </c>
      <c r="B7" s="93" t="s">
        <v>109</v>
      </c>
      <c r="C7" s="92" t="s">
        <v>17</v>
      </c>
      <c r="D7" s="90" t="s">
        <v>21</v>
      </c>
      <c r="E7" s="92" t="s">
        <v>14</v>
      </c>
      <c r="F7" s="92" t="s">
        <v>110</v>
      </c>
      <c r="G7" s="94">
        <v>0.5</v>
      </c>
      <c r="H7" s="93" t="s">
        <v>111</v>
      </c>
      <c r="I7" s="93" t="s">
        <v>112</v>
      </c>
      <c r="J7" s="93" t="s">
        <v>113</v>
      </c>
      <c r="K7" s="93" t="s">
        <v>95</v>
      </c>
      <c r="L7" s="93" t="s">
        <v>114</v>
      </c>
      <c r="M7" s="93" t="s">
        <v>115</v>
      </c>
      <c r="N7" s="93" t="s">
        <v>116</v>
      </c>
    </row>
    <row r="8" spans="1:14" ht="29">
      <c r="A8" s="88">
        <v>7</v>
      </c>
      <c r="B8" s="89" t="s">
        <v>117</v>
      </c>
      <c r="C8" s="88" t="s">
        <v>17</v>
      </c>
      <c r="D8" s="90" t="s">
        <v>21</v>
      </c>
      <c r="E8" s="88" t="s">
        <v>14</v>
      </c>
      <c r="F8" s="88" t="s">
        <v>14</v>
      </c>
      <c r="G8" s="91">
        <v>0.8</v>
      </c>
      <c r="H8" s="89" t="s">
        <v>118</v>
      </c>
      <c r="I8" s="89" t="s">
        <v>119</v>
      </c>
      <c r="J8" s="89" t="s">
        <v>120</v>
      </c>
      <c r="K8" s="89" t="s">
        <v>101</v>
      </c>
      <c r="L8" s="89" t="s">
        <v>121</v>
      </c>
      <c r="M8" s="89" t="s">
        <v>122</v>
      </c>
      <c r="N8" s="89" t="s">
        <v>123</v>
      </c>
    </row>
    <row r="9" spans="1:14" ht="72.5">
      <c r="A9" s="92">
        <v>8</v>
      </c>
      <c r="B9" s="93" t="s">
        <v>369</v>
      </c>
      <c r="C9" s="92" t="s">
        <v>17</v>
      </c>
      <c r="D9" s="90" t="s">
        <v>21</v>
      </c>
      <c r="E9" s="92" t="s">
        <v>14</v>
      </c>
      <c r="F9" s="92" t="s">
        <v>14</v>
      </c>
      <c r="G9" s="94">
        <v>0.3</v>
      </c>
      <c r="H9" s="93" t="s">
        <v>370</v>
      </c>
      <c r="I9" s="93" t="s">
        <v>371</v>
      </c>
      <c r="J9" s="93" t="s">
        <v>372</v>
      </c>
      <c r="K9" s="93" t="s">
        <v>95</v>
      </c>
      <c r="L9" s="93" t="s">
        <v>373</v>
      </c>
      <c r="M9" s="93" t="s">
        <v>374</v>
      </c>
      <c r="N9" s="93" t="s">
        <v>375</v>
      </c>
    </row>
    <row r="10" spans="1:14" ht="87">
      <c r="A10" s="88">
        <v>9</v>
      </c>
      <c r="B10" s="89" t="s">
        <v>376</v>
      </c>
      <c r="C10" s="88" t="s">
        <v>17</v>
      </c>
      <c r="D10" s="90" t="s">
        <v>21</v>
      </c>
      <c r="E10" s="88" t="s">
        <v>14</v>
      </c>
      <c r="F10" s="88" t="s">
        <v>14</v>
      </c>
      <c r="G10" s="91">
        <v>0.2</v>
      </c>
      <c r="H10" s="89" t="s">
        <v>377</v>
      </c>
      <c r="I10" s="89" t="s">
        <v>378</v>
      </c>
      <c r="J10" s="89" t="s">
        <v>379</v>
      </c>
      <c r="K10" s="89" t="s">
        <v>101</v>
      </c>
      <c r="L10" s="89" t="s">
        <v>380</v>
      </c>
      <c r="M10" s="89" t="s">
        <v>381</v>
      </c>
      <c r="N10" s="89" t="s">
        <v>382</v>
      </c>
    </row>
    <row r="11" spans="1:14">
      <c r="A11" s="95"/>
      <c r="B11" s="95"/>
      <c r="C11" s="95"/>
      <c r="D11" s="95"/>
      <c r="E11" s="95"/>
      <c r="F11" s="95"/>
      <c r="G11" s="95"/>
      <c r="H11" s="95"/>
      <c r="I11" s="95"/>
      <c r="J11" s="95"/>
      <c r="K11" s="95"/>
      <c r="L11" s="95"/>
      <c r="M11" s="95"/>
      <c r="N11" s="95"/>
    </row>
    <row r="12" spans="1:14">
      <c r="A12" s="96"/>
      <c r="B12" s="96"/>
      <c r="C12" s="96"/>
      <c r="D12" s="96"/>
      <c r="E12" s="96"/>
      <c r="F12" s="96"/>
      <c r="G12" s="96"/>
      <c r="H12" s="96"/>
      <c r="I12" s="96"/>
      <c r="J12" s="96"/>
      <c r="K12" s="96"/>
      <c r="L12" s="96"/>
      <c r="M12" s="96"/>
      <c r="N12" s="96"/>
    </row>
    <row r="13" spans="1:14">
      <c r="A13" s="96"/>
      <c r="B13" s="96"/>
      <c r="C13" s="96"/>
      <c r="D13" s="96"/>
      <c r="E13" s="96"/>
      <c r="F13" s="96"/>
      <c r="G13" s="96"/>
      <c r="H13" s="96"/>
      <c r="I13" s="96"/>
      <c r="J13" s="96"/>
      <c r="K13" s="96"/>
      <c r="L13" s="96"/>
      <c r="M13" s="96"/>
      <c r="N13" s="96"/>
    </row>
    <row r="14" spans="1:14">
      <c r="A14" s="96"/>
      <c r="B14" s="96"/>
      <c r="C14" s="96"/>
      <c r="D14" s="96"/>
      <c r="E14" s="96"/>
      <c r="F14" s="96"/>
      <c r="G14" s="96"/>
      <c r="H14" s="96"/>
      <c r="I14" s="96"/>
      <c r="J14" s="96"/>
      <c r="K14" s="96"/>
      <c r="L14" s="96"/>
      <c r="M14" s="96"/>
      <c r="N14" s="96"/>
    </row>
    <row r="15" spans="1:14">
      <c r="A15" s="96"/>
      <c r="B15" s="96"/>
      <c r="C15" s="96"/>
      <c r="D15" s="96"/>
      <c r="E15" s="96"/>
      <c r="F15" s="96"/>
      <c r="G15" s="96"/>
      <c r="H15" s="96"/>
      <c r="I15" s="96"/>
      <c r="J15" s="96"/>
      <c r="K15" s="96"/>
      <c r="L15" s="96"/>
      <c r="M15" s="96"/>
      <c r="N15" s="96"/>
    </row>
    <row r="16" spans="1:14">
      <c r="A16" s="96"/>
      <c r="B16" s="96"/>
      <c r="C16" s="96"/>
      <c r="D16" s="96"/>
      <c r="E16" s="96"/>
      <c r="F16" s="96"/>
      <c r="G16" s="96"/>
      <c r="H16" s="96"/>
      <c r="I16" s="96"/>
      <c r="J16" s="96"/>
      <c r="K16" s="96"/>
      <c r="L16" s="96"/>
      <c r="M16" s="96"/>
      <c r="N16" s="96"/>
    </row>
    <row r="17" spans="1:14">
      <c r="A17" s="96"/>
      <c r="B17" s="96"/>
      <c r="C17" s="96"/>
      <c r="D17" s="96"/>
      <c r="E17" s="96"/>
      <c r="F17" s="96"/>
      <c r="G17" s="96"/>
      <c r="H17" s="96"/>
      <c r="I17" s="96"/>
      <c r="J17" s="96"/>
      <c r="K17" s="96"/>
      <c r="L17" s="96"/>
      <c r="M17" s="96"/>
      <c r="N17" s="96"/>
    </row>
    <row r="18" spans="1:14">
      <c r="A18" s="96"/>
      <c r="B18" s="96"/>
      <c r="C18" s="96"/>
      <c r="D18" s="96"/>
      <c r="E18" s="96"/>
      <c r="F18" s="96"/>
      <c r="G18" s="96"/>
      <c r="H18" s="96"/>
      <c r="I18" s="96"/>
      <c r="J18" s="96"/>
      <c r="K18" s="96"/>
      <c r="L18" s="96"/>
      <c r="M18" s="96"/>
      <c r="N18" s="96"/>
    </row>
    <row r="19" spans="1:14">
      <c r="A19" s="96"/>
      <c r="B19" s="96"/>
      <c r="C19" s="96"/>
      <c r="D19" s="96"/>
      <c r="E19" s="96"/>
      <c r="F19" s="96"/>
      <c r="G19" s="96"/>
      <c r="H19" s="96"/>
      <c r="I19" s="96"/>
      <c r="J19" s="96"/>
      <c r="K19" s="96"/>
      <c r="L19" s="96"/>
      <c r="M19" s="96"/>
      <c r="N19" s="96"/>
    </row>
    <row r="20" spans="1:14">
      <c r="A20" s="96"/>
      <c r="B20" s="96"/>
      <c r="C20" s="96"/>
      <c r="D20" s="96"/>
      <c r="E20" s="96"/>
      <c r="F20" s="96"/>
      <c r="G20" s="96"/>
      <c r="H20" s="96"/>
      <c r="I20" s="96"/>
      <c r="J20" s="96"/>
      <c r="K20" s="96"/>
      <c r="L20" s="96"/>
      <c r="M20" s="96"/>
      <c r="N20" s="96"/>
    </row>
    <row r="21" spans="1:14">
      <c r="A21" s="96"/>
      <c r="B21" s="96"/>
      <c r="C21" s="96"/>
      <c r="D21" s="96"/>
      <c r="E21" s="96"/>
      <c r="F21" s="96"/>
      <c r="G21" s="96"/>
      <c r="H21" s="96"/>
      <c r="I21" s="96"/>
      <c r="J21" s="96"/>
      <c r="K21" s="96"/>
      <c r="L21" s="96"/>
      <c r="M21" s="96"/>
      <c r="N21" s="96"/>
    </row>
  </sheetData>
  <conditionalFormatting sqref="C2:C10">
    <cfRule type="containsText" dxfId="46" priority="2" operator="containsText" text="Completed"/>
    <cfRule type="containsText" dxfId="45" priority="3" operator="containsText" text="In Progress"/>
    <cfRule type="containsText" dxfId="44" priority="4" operator="containsText" text="At Risk"/>
    <cfRule type="containsText" dxfId="43" priority="5" operator="containsText" text="Not Started"/>
  </conditionalFormatting>
  <conditionalFormatting sqref="G2:G9">
    <cfRule type="dataBar" priority="8">
      <dataBar>
        <cfvo type="min"/>
        <cfvo type="max"/>
        <color rgb="FF5B9BD5"/>
      </dataBar>
    </cfRule>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{6C056180-504E-40C1-9895-D716546AF142}</x14:id>
        </ext>
      </extLst>
    </cfRule>
  </conditionalFormatting>
  <conditionalFormatting sqref="G1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extLst>
        <ext xmlns:x14="http://schemas.microsoft.com/office/spreadsheetml/2009/9/main" uri="{B025F937-C7B1-47D3-B67F-A62EFF666E3E}">
          <x14:id>{FBA7D517-A031-4FFB-9515-38C1B7F99E12}</x14:id>
        </ext>
      </extLst>
    </cfRule>
  </conditionalFormatting>
  <dataValidations count="2">
    <dataValidation type="decimal" sqref="G2:G9" xr:uid="{EED5FCF1-094C-41E5-A390-51ECCA395D7F}">
      <formula1>0</formula1>
      <formula2>1</formula2>
    </dataValidation>
    <dataValidation type="list" sqref="C2:C9" xr:uid="{1DA0B624-E48C-4D53-8539-77561C58ABCF}">
      <formula1>"Not Started,Pending,In Progress,Ongoing,At Risk,On Hold,Completed,Roadmap,Readiness,Evaluation"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C056180-504E-40C1-9895-D716546AF142}">
            <x14:dataBar>
              <x14:cfvo type="min"/>
              <x14:cfvo type="max"/>
              <x14:negativeFillColor auto="1"/>
              <x14:axisColor auto="1"/>
            </x14:dataBar>
          </x14:cfRule>
          <xm:sqref>G2:G9</xm:sqref>
        </x14:conditionalFormatting>
        <x14:conditionalFormatting xmlns:xm="http://schemas.microsoft.com/office/excel/2006/main">
          <x14:cfRule type="dataBar" id="{FBA7D517-A031-4FFB-9515-38C1B7F99E12}">
            <x14:dataBar>
              <x14:cfvo type="min"/>
              <x14:cfvo type="max"/>
              <x14:negativeFillColor auto="1"/>
              <x14:axisColor auto="1"/>
            </x14:dataBar>
          </x14:cfRule>
          <xm:sqref>G10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0"/>
  <sheetViews>
    <sheetView showGridLines="0" tabSelected="1" workbookViewId="0">
      <pane ySplit="1" topLeftCell="A11" activePane="bottomLeft" state="frozen"/>
      <selection pane="bottomLeft" activeCell="B4" sqref="B4"/>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 min="14" max="14" width="220" customWidth="1"/>
  </cols>
  <sheetData>
    <row r="1" spans="1:14" ht="34" customHeight="1" thickBot="1">
      <c r="A1" s="3" t="s">
        <v>0</v>
      </c>
      <c r="B1" s="3" t="s">
        <v>1</v>
      </c>
      <c r="C1" s="3" t="s">
        <v>2</v>
      </c>
      <c r="D1" s="3" t="s">
        <v>3</v>
      </c>
      <c r="E1" s="3" t="s">
        <v>4</v>
      </c>
      <c r="F1" s="3" t="s">
        <v>347</v>
      </c>
      <c r="G1" s="3" t="s">
        <v>5</v>
      </c>
      <c r="H1" s="3" t="s">
        <v>6</v>
      </c>
      <c r="I1" s="3" t="s">
        <v>7</v>
      </c>
      <c r="J1" s="3" t="s">
        <v>8</v>
      </c>
      <c r="K1" s="3" t="s">
        <v>9</v>
      </c>
      <c r="L1" s="3" t="s">
        <v>10</v>
      </c>
      <c r="M1" s="3" t="s">
        <v>11</v>
      </c>
      <c r="N1" s="3" t="s">
        <v>12</v>
      </c>
    </row>
    <row r="2" spans="1:14" ht="26.5" customHeight="1">
      <c r="A2" s="23">
        <v>1</v>
      </c>
      <c r="B2" s="24" t="s">
        <v>124</v>
      </c>
      <c r="C2" s="23" t="s">
        <v>428</v>
      </c>
      <c r="D2" s="97" t="s">
        <v>13</v>
      </c>
      <c r="E2" s="25" t="s">
        <v>14</v>
      </c>
      <c r="F2" s="26" t="s">
        <v>429</v>
      </c>
      <c r="G2" s="74">
        <v>0.8</v>
      </c>
      <c r="H2" s="24" t="s">
        <v>430</v>
      </c>
      <c r="I2" s="24" t="s">
        <v>431</v>
      </c>
      <c r="J2" s="24" t="s">
        <v>432</v>
      </c>
      <c r="K2" s="24" t="s">
        <v>433</v>
      </c>
      <c r="L2" s="24" t="s">
        <v>434</v>
      </c>
      <c r="M2" s="24" t="s">
        <v>435</v>
      </c>
      <c r="N2" s="75" t="s">
        <v>436</v>
      </c>
    </row>
    <row r="3" spans="1:14" ht="116">
      <c r="A3" s="27">
        <v>2</v>
      </c>
      <c r="B3" s="28" t="s">
        <v>125</v>
      </c>
      <c r="C3" s="27" t="s">
        <v>126</v>
      </c>
      <c r="D3" s="73" t="s">
        <v>21</v>
      </c>
      <c r="E3" s="29" t="s">
        <v>14</v>
      </c>
      <c r="F3" s="26" t="s">
        <v>14</v>
      </c>
      <c r="G3" s="76">
        <v>0.9</v>
      </c>
      <c r="H3" s="28" t="s">
        <v>127</v>
      </c>
      <c r="I3" s="28" t="s">
        <v>128</v>
      </c>
      <c r="J3" s="28" t="s">
        <v>129</v>
      </c>
      <c r="K3" s="28" t="s">
        <v>130</v>
      </c>
      <c r="L3" s="28" t="s">
        <v>131</v>
      </c>
      <c r="M3" s="28" t="s">
        <v>132</v>
      </c>
      <c r="N3" s="77" t="s">
        <v>133</v>
      </c>
    </row>
    <row r="4" spans="1:14" ht="108" customHeight="1">
      <c r="A4" s="27">
        <v>3</v>
      </c>
      <c r="B4" s="28" t="s">
        <v>134</v>
      </c>
      <c r="C4" s="27" t="s">
        <v>437</v>
      </c>
      <c r="D4" s="97" t="s">
        <v>13</v>
      </c>
      <c r="E4" s="29" t="s">
        <v>438</v>
      </c>
      <c r="F4" s="30" t="s">
        <v>439</v>
      </c>
      <c r="G4" s="76">
        <v>0.7</v>
      </c>
      <c r="H4" s="28" t="s">
        <v>440</v>
      </c>
      <c r="I4" s="28" t="s">
        <v>441</v>
      </c>
      <c r="J4" s="28" t="s">
        <v>442</v>
      </c>
      <c r="K4" s="28" t="s">
        <v>443</v>
      </c>
      <c r="L4" s="28" t="s">
        <v>444</v>
      </c>
      <c r="M4" s="28" t="s">
        <v>445</v>
      </c>
      <c r="N4" s="78" t="s">
        <v>446</v>
      </c>
    </row>
    <row r="5" spans="1:14" ht="116" customHeight="1">
      <c r="A5" s="27">
        <v>4</v>
      </c>
      <c r="B5" s="28" t="s">
        <v>135</v>
      </c>
      <c r="C5" s="27" t="s">
        <v>447</v>
      </c>
      <c r="D5" s="98" t="s">
        <v>13</v>
      </c>
      <c r="E5" s="29" t="s">
        <v>448</v>
      </c>
      <c r="F5" s="30" t="s">
        <v>449</v>
      </c>
      <c r="G5" s="76">
        <v>0.55000000000000004</v>
      </c>
      <c r="H5" s="28" t="s">
        <v>450</v>
      </c>
      <c r="I5" s="28" t="s">
        <v>451</v>
      </c>
      <c r="J5" s="28" t="s">
        <v>452</v>
      </c>
      <c r="K5" s="28" t="s">
        <v>453</v>
      </c>
      <c r="L5" s="28" t="s">
        <v>454</v>
      </c>
      <c r="M5" s="28" t="s">
        <v>455</v>
      </c>
      <c r="N5" s="77" t="s">
        <v>456</v>
      </c>
    </row>
    <row r="6" spans="1:14" ht="174">
      <c r="A6" s="27">
        <v>5</v>
      </c>
      <c r="B6" s="28" t="s">
        <v>136</v>
      </c>
      <c r="C6" s="27" t="s">
        <v>383</v>
      </c>
      <c r="D6" s="79" t="s">
        <v>13</v>
      </c>
      <c r="E6" s="29" t="s">
        <v>267</v>
      </c>
      <c r="F6" s="30" t="s">
        <v>384</v>
      </c>
      <c r="G6" s="76">
        <v>0.7</v>
      </c>
      <c r="H6" s="28" t="s">
        <v>385</v>
      </c>
      <c r="I6" s="28" t="s">
        <v>386</v>
      </c>
      <c r="J6" s="28" t="s">
        <v>387</v>
      </c>
      <c r="K6" s="28" t="s">
        <v>388</v>
      </c>
      <c r="L6" s="28" t="s">
        <v>389</v>
      </c>
      <c r="M6" s="28" t="s">
        <v>390</v>
      </c>
      <c r="N6" s="78" t="s">
        <v>391</v>
      </c>
    </row>
    <row r="7" spans="1:14" ht="72.5">
      <c r="A7" s="27">
        <v>6</v>
      </c>
      <c r="B7" s="28" t="s">
        <v>138</v>
      </c>
      <c r="C7" s="27" t="s">
        <v>67</v>
      </c>
      <c r="D7" s="73" t="s">
        <v>21</v>
      </c>
      <c r="E7" s="29">
        <v>46234</v>
      </c>
      <c r="F7" s="30" t="s">
        <v>292</v>
      </c>
      <c r="G7" s="76">
        <v>1</v>
      </c>
      <c r="H7" s="28" t="s">
        <v>139</v>
      </c>
      <c r="I7" s="28" t="s">
        <v>140</v>
      </c>
      <c r="J7" s="28" t="s">
        <v>141</v>
      </c>
      <c r="K7" s="28" t="s">
        <v>142</v>
      </c>
      <c r="L7" s="28" t="s">
        <v>143</v>
      </c>
      <c r="M7" s="28" t="s">
        <v>144</v>
      </c>
      <c r="N7" s="77" t="s">
        <v>137</v>
      </c>
    </row>
    <row r="8" spans="1:14" ht="116">
      <c r="A8" s="2">
        <v>7</v>
      </c>
      <c r="B8" s="28" t="s">
        <v>145</v>
      </c>
      <c r="C8" s="27" t="s">
        <v>392</v>
      </c>
      <c r="D8" s="97" t="s">
        <v>13</v>
      </c>
      <c r="E8" s="29">
        <v>46188</v>
      </c>
      <c r="F8" s="30" t="s">
        <v>393</v>
      </c>
      <c r="G8" s="76">
        <v>0.8</v>
      </c>
      <c r="H8" s="28" t="s">
        <v>394</v>
      </c>
      <c r="I8" s="28" t="s">
        <v>395</v>
      </c>
      <c r="J8" s="28" t="s">
        <v>396</v>
      </c>
      <c r="K8" s="28" t="s">
        <v>397</v>
      </c>
      <c r="L8" s="28" t="s">
        <v>398</v>
      </c>
      <c r="M8" s="28" t="s">
        <v>399</v>
      </c>
      <c r="N8" s="78" t="s">
        <v>400</v>
      </c>
    </row>
    <row r="9" spans="1:14" ht="188.5">
      <c r="A9" s="27">
        <v>8</v>
      </c>
      <c r="B9" s="28" t="s">
        <v>290</v>
      </c>
      <c r="C9" s="27" t="s">
        <v>401</v>
      </c>
      <c r="D9" s="79" t="s">
        <v>13</v>
      </c>
      <c r="E9" s="29" t="s">
        <v>291</v>
      </c>
      <c r="F9" s="30" t="s">
        <v>402</v>
      </c>
      <c r="G9" s="76">
        <v>0.7</v>
      </c>
      <c r="H9" s="28" t="s">
        <v>403</v>
      </c>
      <c r="I9" s="28" t="s">
        <v>404</v>
      </c>
      <c r="J9" s="28" t="s">
        <v>405</v>
      </c>
      <c r="K9" s="28" t="s">
        <v>406</v>
      </c>
      <c r="L9" s="28" t="s">
        <v>407</v>
      </c>
      <c r="M9" s="28" t="s">
        <v>408</v>
      </c>
      <c r="N9" s="80" t="s">
        <v>409</v>
      </c>
    </row>
    <row r="10" spans="1:14" ht="232">
      <c r="A10" s="22">
        <v>9</v>
      </c>
      <c r="B10" s="99" t="s">
        <v>457</v>
      </c>
      <c r="C10" s="100" t="s">
        <v>458</v>
      </c>
      <c r="D10" s="97" t="s">
        <v>13</v>
      </c>
      <c r="E10" s="101" t="s">
        <v>459</v>
      </c>
      <c r="F10" s="76" t="s">
        <v>460</v>
      </c>
      <c r="G10" s="76">
        <v>0.25</v>
      </c>
      <c r="H10" s="99" t="s">
        <v>461</v>
      </c>
      <c r="I10" s="99" t="s">
        <v>462</v>
      </c>
      <c r="J10" s="99" t="s">
        <v>463</v>
      </c>
      <c r="K10" s="99" t="s">
        <v>464</v>
      </c>
      <c r="L10" s="99" t="s">
        <v>465</v>
      </c>
      <c r="M10" s="99" t="s">
        <v>466</v>
      </c>
      <c r="N10" s="102" t="s">
        <v>467</v>
      </c>
    </row>
  </sheetData>
  <conditionalFormatting sqref="C2">
    <cfRule type="containsText" dxfId="42" priority="6" operator="containsText" text="In Progress"/>
    <cfRule type="containsText" dxfId="41" priority="5" operator="containsText" text="Completed"/>
    <cfRule type="containsText" dxfId="40" priority="7" operator="containsText" text="At Risk"/>
    <cfRule type="containsText" dxfId="39" priority="8" operator="containsText" text="Not Started"/>
  </conditionalFormatting>
  <conditionalFormatting sqref="C2:C8">
    <cfRule type="containsText" dxfId="38" priority="11" operator="containsText" text="At Risk"/>
    <cfRule type="containsText" dxfId="37" priority="12" operator="containsText" text="Yellow"/>
    <cfRule type="containsText" dxfId="36" priority="13" operator="containsText" text="Validation Pending"/>
  </conditionalFormatting>
  <conditionalFormatting sqref="D2:D8">
    <cfRule type="containsText" dxfId="35" priority="2" operator="containsText" text="Amber"/>
    <cfRule type="containsText" dxfId="34" priority="3" operator="containsText" text="Green"/>
    <cfRule type="containsText" dxfId="33" priority="1" operator="containsText" text="At Risk"/>
  </conditionalFormatting>
  <conditionalFormatting sqref="F2:F3">
    <cfRule type="dataBar" priority="4">
      <dataBar>
        <cfvo type="min"/>
        <cfvo type="max"/>
        <color rgb="FF5B9BD5"/>
      </dataBar>
    </cfRule>
    <cfRule type="dataBar" priority="9">
      <dataBar>
        <cfvo type="min"/>
        <cfvo type="max"/>
        <color rgb="FF5B9BD5"/>
      </dataBar>
    </cfRule>
    <cfRule type="dataBar" priority="18">
      <dataBar>
        <cfvo type="min"/>
        <cfvo type="max"/>
        <color rgb="FF5B9BD5"/>
      </dataBar>
    </cfRule>
    <cfRule type="dataBar" priority="14">
      <dataBar>
        <cfvo type="min"/>
        <cfvo type="max"/>
        <color rgb="FF5B9BD5"/>
      </dataBar>
    </cfRule>
    <cfRule type="dataBar" priority="20">
      <dataBar>
        <cfvo type="min"/>
        <cfvo type="max"/>
        <color rgb="FF5B9BD5"/>
      </dataBar>
    </cfRule>
    <cfRule type="dataBar" priority="16">
      <dataBar>
        <cfvo type="min"/>
        <cfvo type="max"/>
        <color rgb="FF5B9BD5"/>
      </dataBar>
    </cfRule>
    <cfRule type="dataBar" priority="22">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2">
      <dataBar>
        <cfvo type="min"/>
        <cfvo type="max"/>
        <color rgb="FF5B9BD5"/>
      </dataBar>
    </cfRule>
    <cfRule type="dataBar" priority="38">
      <dataBar>
        <cfvo type="min"/>
        <cfvo type="max"/>
        <color rgb="FF5B9BD5"/>
      </dataBar>
    </cfRule>
    <cfRule type="dataBar" priority="34">
      <dataBar>
        <cfvo type="min"/>
        <cfvo type="max"/>
        <color rgb="FF5B9BD5"/>
      </dataBar>
    </cfRule>
    <cfRule type="dataBar" priority="36">
      <dataBar>
        <cfvo type="min"/>
        <cfvo type="max"/>
        <color rgb="FF5B9BD5"/>
      </dataBar>
    </cfRule>
    <cfRule type="dataBar" priority="40">
      <dataBar>
        <cfvo type="min"/>
        <cfvo type="max"/>
        <color rgb="FF5B9BD5"/>
      </dataBar>
    </cfRule>
    <cfRule type="dataBar" priority="42">
      <dataBar>
        <cfvo type="min"/>
        <cfvo type="max"/>
        <color rgb="FF5B9BD5"/>
      </dataBar>
      <extLst>
        <ext xmlns:x14="http://schemas.microsoft.com/office/spreadsheetml/2009/9/main" uri="{B025F937-C7B1-47D3-B67F-A62EFF666E3E}">
          <x14:id>{7DC73D10-7A36-417C-8DE8-EA5C13E12346}</x14:id>
        </ext>
      </extLst>
    </cfRule>
  </conditionalFormatting>
  <conditionalFormatting sqref="F2:F8">
    <cfRule type="dataBar" priority="19">
      <dataBar>
        <cfvo type="min"/>
        <cfvo type="max"/>
        <color rgb="FF5B9BD5"/>
      </dataBar>
    </cfRule>
    <cfRule type="dataBar" priority="29">
      <dataBar>
        <cfvo type="min"/>
        <cfvo type="max"/>
        <color rgb="FF5B9BD5"/>
      </dataBar>
    </cfRule>
    <cfRule type="dataBar" priority="21">
      <dataBar>
        <cfvo type="min"/>
        <cfvo type="max"/>
        <color rgb="FF5B9BD5"/>
      </dataBar>
    </cfRule>
    <cfRule type="dataBar" priority="31">
      <dataBar>
        <cfvo type="min"/>
        <cfvo type="max"/>
        <color rgb="FF5B9BD5"/>
      </dataBar>
    </cfRule>
    <cfRule type="dataBar" priority="17">
      <dataBar>
        <cfvo type="min"/>
        <cfvo type="max"/>
        <color rgb="FF5B9BD5"/>
      </dataBar>
    </cfRule>
    <cfRule type="dataBar" priority="23">
      <dataBar>
        <cfvo type="min"/>
        <cfvo type="max"/>
        <color rgb="FF5B9BD5"/>
      </dataBar>
    </cfRule>
    <cfRule type="dataBar" priority="10">
      <dataBar>
        <cfvo type="min"/>
        <cfvo type="max"/>
        <color rgb="FF5B9BD5"/>
      </dataBar>
    </cfRule>
    <cfRule type="dataBar" priority="35">
      <dataBar>
        <cfvo type="min"/>
        <cfvo type="max"/>
        <color rgb="FF5B9BD5"/>
      </dataBar>
    </cfRule>
    <cfRule type="dataBar" priority="25">
      <dataBar>
        <cfvo type="min"/>
        <cfvo type="max"/>
        <color rgb="FF5B9BD5"/>
      </dataBar>
    </cfRule>
    <cfRule type="dataBar" priority="37">
      <dataBar>
        <cfvo type="min"/>
        <cfvo type="max"/>
        <color rgb="FF5B9BD5"/>
      </dataBar>
    </cfRule>
    <cfRule type="dataBar" priority="33">
      <dataBar>
        <cfvo type="min"/>
        <cfvo type="max"/>
        <color rgb="FF5B9BD5"/>
      </dataBar>
    </cfRule>
    <cfRule type="dataBar" priority="39">
      <dataBar>
        <cfvo type="min"/>
        <cfvo type="max"/>
        <color rgb="FF5B9BD5"/>
      </dataBar>
    </cfRule>
    <cfRule type="dataBar" priority="15">
      <dataBar>
        <cfvo type="min"/>
        <cfvo type="max"/>
        <color rgb="FF5B9BD5"/>
      </dataBar>
    </cfRule>
    <cfRule type="dataBar" priority="41">
      <dataBar>
        <cfvo type="min"/>
        <cfvo type="max"/>
        <color rgb="FF5B9BD5"/>
      </dataBar>
    </cfRule>
    <cfRule type="dataBar" priority="27">
      <dataBar>
        <cfvo type="min"/>
        <cfvo type="max"/>
        <color rgb="FF5B9BD5"/>
      </dataBar>
    </cfRule>
    <cfRule type="dataBar" priority="43">
      <dataBar>
        <cfvo type="min"/>
        <cfvo type="max"/>
        <color rgb="FF5B9BD5"/>
      </dataBar>
      <extLst>
        <ext xmlns:x14="http://schemas.microsoft.com/office/spreadsheetml/2009/9/main" uri="{B025F937-C7B1-47D3-B67F-A62EFF666E3E}">
          <x14:id>{38FFD1B6-A205-43AA-B181-89FB4925F9DA}</x14:id>
        </ext>
      </extLst>
    </cfRule>
  </conditionalFormatting>
  <dataValidations count="4">
    <dataValidation type="list" sqref="C2" xr:uid="{1292CA32-EF8D-4879-B04E-974210F003FA}">
      <formula1>"Not Started,Pending,In Progress,Ongoing,At Risk,On Hold,Completed,Roadmap,Readiness,Evaluation"</formula1>
    </dataValidation>
    <dataValidation type="decimal" sqref="F2:F7" xr:uid="{3D8462A7-7027-4EF5-8491-48F4C8AB036C}">
      <formula1>0</formula1>
      <formula2>1</formula2>
    </dataValidation>
    <dataValidation type="list" sqref="C2:C5" xr:uid="{381167A7-2D7F-4D37-A924-7178DAF91C91}">
      <formula1>"Not Started,In Progress,At Risk / In Progress,At Risk / Support Needed,Validation Pending,Yellow – Testing Progressing,On Hold,Completed"</formula1>
    </dataValidation>
    <dataValidation type="list" sqref="D2:D8" xr:uid="{1E32DF0C-6CE7-476E-83E2-B2C3371FFDB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7DC73D10-7A36-417C-8DE8-EA5C13E12346}">
            <x14:dataBar>
              <x14:cfvo type="min"/>
              <x14:cfvo type="max"/>
              <x14:negativeFillColor auto="1"/>
              <x14:axisColor auto="1"/>
            </x14:dataBar>
          </x14:cfRule>
          <xm:sqref>F2:F3</xm:sqref>
        </x14:conditionalFormatting>
        <x14:conditionalFormatting xmlns:xm="http://schemas.microsoft.com/office/excel/2006/main">
          <x14:cfRule type="dataBar" id="{38FFD1B6-A205-43AA-B181-89FB4925F9DA}">
            <x14:dataBar>
              <x14:cfvo type="min"/>
              <x14:cfvo type="max"/>
              <x14:negativeFillColor auto="1"/>
              <x14:axisColor auto="1"/>
            </x14:dataBar>
          </x14:cfRule>
          <xm:sqref>F2:F8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8"/>
  <sheetViews>
    <sheetView showGridLines="0" workbookViewId="0">
      <pane ySplit="1" topLeftCell="A2" activePane="bottomLeft" state="frozen"/>
      <selection pane="bottomLeft" activeCell="C3" sqref="C3"/>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4" customWidth="1"/>
  </cols>
  <sheetData>
    <row r="1" spans="1:14" ht="34" customHeight="1">
      <c r="A1" s="81" t="s">
        <v>0</v>
      </c>
      <c r="B1" s="81" t="s">
        <v>1</v>
      </c>
      <c r="C1" s="81" t="s">
        <v>2</v>
      </c>
      <c r="D1" s="81" t="s">
        <v>3</v>
      </c>
      <c r="E1" s="81" t="s">
        <v>4</v>
      </c>
      <c r="F1" s="81" t="s">
        <v>347</v>
      </c>
      <c r="G1" s="81" t="s">
        <v>5</v>
      </c>
      <c r="H1" s="81" t="s">
        <v>6</v>
      </c>
      <c r="I1" s="81" t="s">
        <v>7</v>
      </c>
      <c r="J1" s="81" t="s">
        <v>8</v>
      </c>
      <c r="K1" s="81" t="s">
        <v>9</v>
      </c>
      <c r="L1" s="81" t="s">
        <v>10</v>
      </c>
      <c r="M1" s="81" t="s">
        <v>11</v>
      </c>
      <c r="N1" s="81" t="s">
        <v>12</v>
      </c>
    </row>
    <row r="2" spans="1:14" ht="15" customHeight="1">
      <c r="A2" s="7">
        <v>1</v>
      </c>
      <c r="B2" s="8" t="s">
        <v>146</v>
      </c>
      <c r="C2" s="82" t="s">
        <v>468</v>
      </c>
      <c r="D2" s="83" t="s">
        <v>13</v>
      </c>
      <c r="E2" s="9" t="s">
        <v>14</v>
      </c>
      <c r="F2" s="9" t="s">
        <v>14</v>
      </c>
      <c r="G2" s="20">
        <v>0.6</v>
      </c>
      <c r="H2" s="8" t="s">
        <v>147</v>
      </c>
      <c r="I2" s="8" t="s">
        <v>148</v>
      </c>
      <c r="J2" s="8" t="s">
        <v>149</v>
      </c>
      <c r="K2" s="8" t="s">
        <v>416</v>
      </c>
      <c r="L2" s="8" t="s">
        <v>150</v>
      </c>
      <c r="M2" s="8" t="s">
        <v>151</v>
      </c>
      <c r="N2" s="5" t="s">
        <v>15</v>
      </c>
    </row>
    <row r="3" spans="1:14" ht="160" customHeight="1">
      <c r="A3" s="11">
        <v>2</v>
      </c>
      <c r="B3" s="12" t="s">
        <v>348</v>
      </c>
      <c r="C3" s="84" t="s">
        <v>469</v>
      </c>
      <c r="D3" s="84" t="s">
        <v>261</v>
      </c>
      <c r="E3" s="13">
        <v>46237</v>
      </c>
      <c r="F3" s="64" t="s">
        <v>470</v>
      </c>
      <c r="G3" s="14">
        <v>0.55000000000000004</v>
      </c>
      <c r="H3" s="12" t="s">
        <v>471</v>
      </c>
      <c r="I3" s="12" t="s">
        <v>472</v>
      </c>
      <c r="J3" s="12" t="s">
        <v>473</v>
      </c>
      <c r="K3" s="12" t="s">
        <v>474</v>
      </c>
      <c r="L3" s="12" t="s">
        <v>475</v>
      </c>
      <c r="M3" s="12" t="s">
        <v>476</v>
      </c>
      <c r="N3" s="12" t="s">
        <v>477</v>
      </c>
    </row>
    <row r="4" spans="1:14" ht="160" customHeight="1">
      <c r="A4" s="7">
        <v>3</v>
      </c>
      <c r="B4" s="8" t="s">
        <v>349</v>
      </c>
      <c r="C4" s="82" t="s">
        <v>321</v>
      </c>
      <c r="D4" s="103" t="s">
        <v>13</v>
      </c>
      <c r="E4" s="9">
        <v>46043</v>
      </c>
      <c r="F4" s="63">
        <v>46407</v>
      </c>
      <c r="G4" s="20">
        <v>0.65</v>
      </c>
      <c r="H4" s="8" t="s">
        <v>322</v>
      </c>
      <c r="I4" s="8" t="s">
        <v>323</v>
      </c>
      <c r="J4" s="8" t="s">
        <v>324</v>
      </c>
      <c r="K4" s="8" t="s">
        <v>417</v>
      </c>
      <c r="L4" s="8" t="s">
        <v>325</v>
      </c>
      <c r="M4" s="8" t="s">
        <v>326</v>
      </c>
      <c r="N4" s="5" t="s">
        <v>327</v>
      </c>
    </row>
    <row r="5" spans="1:14" ht="160" customHeight="1">
      <c r="A5" s="7">
        <v>4</v>
      </c>
      <c r="B5" s="8" t="s">
        <v>350</v>
      </c>
      <c r="C5" s="84" t="s">
        <v>478</v>
      </c>
      <c r="D5" s="104" t="s">
        <v>261</v>
      </c>
      <c r="E5" s="9">
        <v>46267</v>
      </c>
      <c r="F5" s="63" t="s">
        <v>328</v>
      </c>
      <c r="G5" s="20">
        <v>0.6</v>
      </c>
      <c r="H5" s="8" t="s">
        <v>479</v>
      </c>
      <c r="I5" s="8" t="s">
        <v>480</v>
      </c>
      <c r="J5" s="8" t="s">
        <v>481</v>
      </c>
      <c r="K5" s="8" t="s">
        <v>482</v>
      </c>
      <c r="L5" s="8" t="s">
        <v>483</v>
      </c>
      <c r="M5" s="8" t="s">
        <v>484</v>
      </c>
      <c r="N5" s="5" t="s">
        <v>485</v>
      </c>
    </row>
    <row r="6" spans="1:14" ht="160" customHeight="1">
      <c r="A6" s="7">
        <v>5</v>
      </c>
      <c r="B6" s="8" t="s">
        <v>152</v>
      </c>
      <c r="C6" s="84" t="s">
        <v>486</v>
      </c>
      <c r="D6" s="84" t="s">
        <v>261</v>
      </c>
      <c r="E6" s="9">
        <v>46267</v>
      </c>
      <c r="F6" s="63" t="s">
        <v>329</v>
      </c>
      <c r="G6" s="20">
        <v>0.55000000000000004</v>
      </c>
      <c r="H6" s="8" t="s">
        <v>487</v>
      </c>
      <c r="I6" s="8" t="s">
        <v>488</v>
      </c>
      <c r="J6" s="8" t="s">
        <v>489</v>
      </c>
      <c r="K6" s="8" t="s">
        <v>351</v>
      </c>
      <c r="L6" s="8" t="s">
        <v>490</v>
      </c>
      <c r="M6" s="8" t="s">
        <v>491</v>
      </c>
      <c r="N6" s="5" t="s">
        <v>492</v>
      </c>
    </row>
    <row r="7" spans="1:14" ht="15" customHeight="1">
      <c r="A7" s="7">
        <v>6</v>
      </c>
      <c r="B7" s="8" t="s">
        <v>153</v>
      </c>
      <c r="C7" s="82" t="s">
        <v>154</v>
      </c>
      <c r="D7" s="103" t="s">
        <v>13</v>
      </c>
      <c r="E7" s="9">
        <v>46237</v>
      </c>
      <c r="F7" s="63" t="s">
        <v>14</v>
      </c>
      <c r="G7" s="20">
        <v>0.75</v>
      </c>
      <c r="H7" s="8" t="s">
        <v>155</v>
      </c>
      <c r="I7" s="8" t="s">
        <v>156</v>
      </c>
      <c r="J7" s="8" t="s">
        <v>157</v>
      </c>
      <c r="K7" s="8" t="s">
        <v>416</v>
      </c>
      <c r="L7" s="8" t="s">
        <v>158</v>
      </c>
      <c r="M7" s="8" t="s">
        <v>159</v>
      </c>
      <c r="N7" s="5" t="s">
        <v>15</v>
      </c>
    </row>
    <row r="8" spans="1:14" ht="160" customHeight="1">
      <c r="A8" s="7">
        <v>7</v>
      </c>
      <c r="B8" s="8" t="s">
        <v>160</v>
      </c>
      <c r="C8" s="82" t="s">
        <v>330</v>
      </c>
      <c r="D8" s="103" t="s">
        <v>13</v>
      </c>
      <c r="E8" s="9">
        <v>46266</v>
      </c>
      <c r="F8" s="63" t="s">
        <v>331</v>
      </c>
      <c r="G8" s="20">
        <v>0.48</v>
      </c>
      <c r="H8" s="8" t="s">
        <v>332</v>
      </c>
      <c r="I8" s="8" t="s">
        <v>333</v>
      </c>
      <c r="J8" s="8" t="s">
        <v>334</v>
      </c>
      <c r="K8" s="8" t="s">
        <v>335</v>
      </c>
      <c r="L8" s="8" t="s">
        <v>336</v>
      </c>
      <c r="M8" s="8" t="s">
        <v>337</v>
      </c>
      <c r="N8" s="5" t="s">
        <v>338</v>
      </c>
    </row>
    <row r="9" spans="1:14" ht="26.5" customHeight="1">
      <c r="A9" s="7">
        <v>8</v>
      </c>
      <c r="B9" s="8" t="s">
        <v>161</v>
      </c>
      <c r="C9" s="82" t="s">
        <v>162</v>
      </c>
      <c r="D9" s="103" t="s">
        <v>13</v>
      </c>
      <c r="E9" s="9">
        <v>46237</v>
      </c>
      <c r="F9" s="63" t="s">
        <v>14</v>
      </c>
      <c r="G9" s="20">
        <v>0.6</v>
      </c>
      <c r="H9" s="8" t="s">
        <v>163</v>
      </c>
      <c r="I9" s="8" t="s">
        <v>164</v>
      </c>
      <c r="J9" s="8" t="s">
        <v>165</v>
      </c>
      <c r="K9" s="8" t="s">
        <v>416</v>
      </c>
      <c r="L9" s="8" t="s">
        <v>166</v>
      </c>
      <c r="M9" s="8" t="s">
        <v>167</v>
      </c>
      <c r="N9" s="5" t="s">
        <v>15</v>
      </c>
    </row>
    <row r="10" spans="1:14" ht="26.5" customHeight="1">
      <c r="A10" s="7">
        <v>9</v>
      </c>
      <c r="B10" s="8" t="s">
        <v>168</v>
      </c>
      <c r="C10" s="82" t="s">
        <v>169</v>
      </c>
      <c r="D10" s="103" t="s">
        <v>13</v>
      </c>
      <c r="E10" s="9">
        <v>46237</v>
      </c>
      <c r="F10" s="63" t="s">
        <v>14</v>
      </c>
      <c r="G10" s="20">
        <v>0.6</v>
      </c>
      <c r="H10" s="8" t="s">
        <v>170</v>
      </c>
      <c r="I10" s="8" t="s">
        <v>171</v>
      </c>
      <c r="J10" s="8" t="s">
        <v>172</v>
      </c>
      <c r="K10" s="8" t="s">
        <v>416</v>
      </c>
      <c r="L10" s="8" t="s">
        <v>173</v>
      </c>
      <c r="M10" s="8" t="s">
        <v>174</v>
      </c>
      <c r="N10" s="5" t="s">
        <v>15</v>
      </c>
    </row>
    <row r="11" spans="1:14" ht="26.5" customHeight="1">
      <c r="A11" s="7">
        <v>10</v>
      </c>
      <c r="B11" s="8" t="s">
        <v>175</v>
      </c>
      <c r="C11" s="82" t="s">
        <v>176</v>
      </c>
      <c r="D11" s="103" t="s">
        <v>13</v>
      </c>
      <c r="E11" s="9">
        <v>46237</v>
      </c>
      <c r="F11" s="63" t="s">
        <v>14</v>
      </c>
      <c r="G11" s="20">
        <v>0.6</v>
      </c>
      <c r="H11" s="8" t="s">
        <v>177</v>
      </c>
      <c r="I11" s="8" t="s">
        <v>178</v>
      </c>
      <c r="J11" s="8" t="s">
        <v>179</v>
      </c>
      <c r="K11" s="8" t="s">
        <v>416</v>
      </c>
      <c r="L11" s="8" t="s">
        <v>180</v>
      </c>
      <c r="M11" s="8" t="s">
        <v>181</v>
      </c>
      <c r="N11" s="5" t="s">
        <v>15</v>
      </c>
    </row>
    <row r="12" spans="1:14" ht="15" customHeight="1">
      <c r="A12" s="7">
        <v>11</v>
      </c>
      <c r="B12" s="8" t="s">
        <v>182</v>
      </c>
      <c r="C12" s="82" t="s">
        <v>183</v>
      </c>
      <c r="D12" s="103" t="s">
        <v>13</v>
      </c>
      <c r="E12" s="9">
        <v>46237</v>
      </c>
      <c r="F12" s="63" t="s">
        <v>14</v>
      </c>
      <c r="G12" s="20">
        <v>0.5</v>
      </c>
      <c r="H12" s="8" t="s">
        <v>184</v>
      </c>
      <c r="I12" s="8" t="s">
        <v>185</v>
      </c>
      <c r="J12" s="8" t="s">
        <v>186</v>
      </c>
      <c r="K12" s="8" t="s">
        <v>416</v>
      </c>
      <c r="L12" s="8" t="s">
        <v>187</v>
      </c>
      <c r="M12" s="8" t="s">
        <v>188</v>
      </c>
      <c r="N12" s="5" t="s">
        <v>15</v>
      </c>
    </row>
    <row r="13" spans="1:14" ht="160" customHeight="1">
      <c r="A13" s="11">
        <v>12</v>
      </c>
      <c r="B13" s="105" t="s">
        <v>352</v>
      </c>
      <c r="C13" s="84" t="s">
        <v>493</v>
      </c>
      <c r="D13" s="104" t="s">
        <v>261</v>
      </c>
      <c r="E13" s="13">
        <v>46280</v>
      </c>
      <c r="F13" s="64" t="s">
        <v>494</v>
      </c>
      <c r="G13" s="14">
        <v>0.55000000000000004</v>
      </c>
      <c r="H13" s="12" t="s">
        <v>495</v>
      </c>
      <c r="I13" s="12" t="s">
        <v>496</v>
      </c>
      <c r="J13" s="12" t="s">
        <v>497</v>
      </c>
      <c r="K13" s="12" t="s">
        <v>498</v>
      </c>
      <c r="L13" s="12" t="s">
        <v>499</v>
      </c>
      <c r="M13" s="12" t="s">
        <v>500</v>
      </c>
      <c r="N13" s="12" t="s">
        <v>501</v>
      </c>
    </row>
    <row r="14" spans="1:14" ht="96" customHeight="1">
      <c r="A14" s="11">
        <v>13</v>
      </c>
      <c r="B14" s="12" t="s">
        <v>189</v>
      </c>
      <c r="C14" s="82" t="s">
        <v>190</v>
      </c>
      <c r="D14" s="83" t="s">
        <v>13</v>
      </c>
      <c r="E14" s="13" t="s">
        <v>191</v>
      </c>
      <c r="F14" s="64" t="s">
        <v>192</v>
      </c>
      <c r="G14" s="14">
        <v>0.75</v>
      </c>
      <c r="H14" s="12" t="s">
        <v>193</v>
      </c>
      <c r="I14" s="12" t="s">
        <v>353</v>
      </c>
      <c r="J14" s="12" t="s">
        <v>194</v>
      </c>
      <c r="K14" s="12" t="s">
        <v>195</v>
      </c>
      <c r="L14" s="12" t="s">
        <v>196</v>
      </c>
      <c r="M14" s="12" t="s">
        <v>197</v>
      </c>
      <c r="N14" s="12" t="s">
        <v>35</v>
      </c>
    </row>
    <row r="15" spans="1:14" ht="96" customHeight="1">
      <c r="A15" s="11">
        <v>14</v>
      </c>
      <c r="B15" s="12" t="s">
        <v>198</v>
      </c>
      <c r="C15" s="82" t="s">
        <v>199</v>
      </c>
      <c r="D15" s="83" t="s">
        <v>13</v>
      </c>
      <c r="E15" s="13" t="s">
        <v>14</v>
      </c>
      <c r="F15" s="64" t="s">
        <v>14</v>
      </c>
      <c r="G15" s="14">
        <v>0.7</v>
      </c>
      <c r="H15" s="12" t="s">
        <v>200</v>
      </c>
      <c r="I15" s="12" t="s">
        <v>262</v>
      </c>
      <c r="J15" s="12" t="s">
        <v>263</v>
      </c>
      <c r="K15" s="12" t="s">
        <v>418</v>
      </c>
      <c r="L15" s="12" t="s">
        <v>264</v>
      </c>
      <c r="M15" s="12" t="s">
        <v>201</v>
      </c>
      <c r="N15" s="12" t="s">
        <v>265</v>
      </c>
    </row>
    <row r="16" spans="1:14" ht="160" customHeight="1">
      <c r="A16" s="16">
        <v>15</v>
      </c>
      <c r="B16" s="5" t="s">
        <v>202</v>
      </c>
      <c r="C16" s="82" t="s">
        <v>339</v>
      </c>
      <c r="D16" s="83" t="s">
        <v>13</v>
      </c>
      <c r="E16" s="17">
        <v>46283</v>
      </c>
      <c r="F16" s="106" t="s">
        <v>340</v>
      </c>
      <c r="G16" s="18">
        <v>0.65</v>
      </c>
      <c r="H16" s="5" t="s">
        <v>341</v>
      </c>
      <c r="I16" s="5" t="s">
        <v>342</v>
      </c>
      <c r="J16" s="5" t="s">
        <v>343</v>
      </c>
      <c r="K16" s="5" t="s">
        <v>419</v>
      </c>
      <c r="L16" s="5" t="s">
        <v>344</v>
      </c>
      <c r="M16" s="5" t="s">
        <v>345</v>
      </c>
      <c r="N16" s="5" t="s">
        <v>346</v>
      </c>
    </row>
    <row r="17" spans="1:14" ht="160" customHeight="1">
      <c r="A17" s="16">
        <v>16</v>
      </c>
      <c r="B17" s="5" t="s">
        <v>266</v>
      </c>
      <c r="C17" s="82" t="s">
        <v>502</v>
      </c>
      <c r="D17" s="83" t="s">
        <v>13</v>
      </c>
      <c r="E17" s="17">
        <v>46286</v>
      </c>
      <c r="F17" s="106" t="s">
        <v>503</v>
      </c>
      <c r="G17" s="18">
        <v>0.7</v>
      </c>
      <c r="H17" s="5" t="s">
        <v>504</v>
      </c>
      <c r="I17" s="5" t="s">
        <v>505</v>
      </c>
      <c r="J17" s="5" t="s">
        <v>506</v>
      </c>
      <c r="K17" s="5" t="s">
        <v>507</v>
      </c>
      <c r="L17" s="5" t="s">
        <v>508</v>
      </c>
      <c r="M17" s="5" t="s">
        <v>509</v>
      </c>
      <c r="N17" s="5" t="s">
        <v>510</v>
      </c>
    </row>
    <row r="18" spans="1:14" ht="182">
      <c r="A18" s="16">
        <v>17</v>
      </c>
      <c r="B18" s="5" t="s">
        <v>511</v>
      </c>
      <c r="C18" s="82" t="s">
        <v>512</v>
      </c>
      <c r="D18" s="83" t="s">
        <v>13</v>
      </c>
      <c r="E18" s="17">
        <v>46316</v>
      </c>
      <c r="F18" s="106" t="s">
        <v>513</v>
      </c>
      <c r="G18" s="18">
        <v>0.25</v>
      </c>
      <c r="H18" s="5" t="s">
        <v>514</v>
      </c>
      <c r="I18" s="5" t="s">
        <v>515</v>
      </c>
      <c r="J18" s="5" t="s">
        <v>516</v>
      </c>
      <c r="K18" s="5" t="s">
        <v>517</v>
      </c>
      <c r="L18" s="5" t="s">
        <v>518</v>
      </c>
      <c r="M18" s="5" t="s">
        <v>519</v>
      </c>
      <c r="N18" s="5" t="s">
        <v>510</v>
      </c>
    </row>
  </sheetData>
  <conditionalFormatting sqref="B13">
    <cfRule type="containsText" dxfId="32" priority="1" operator="containsText" text="Completed"/>
    <cfRule type="containsText" dxfId="31" priority="2" operator="containsText" text="In Progress"/>
    <cfRule type="containsText" dxfId="30" priority="3" operator="containsText" text="At Risk"/>
    <cfRule type="containsText" dxfId="29" priority="4" operator="containsText" text="Not Started"/>
  </conditionalFormatting>
  <conditionalFormatting sqref="C2:C13">
    <cfRule type="containsText" dxfId="28" priority="6" operator="containsText" text="Completed"/>
    <cfRule type="containsText" dxfId="27" priority="7" operator="containsText" text="In Progress"/>
    <cfRule type="containsText" dxfId="26" priority="9" operator="containsText" text="Not Started"/>
  </conditionalFormatting>
  <conditionalFormatting sqref="C2:D13">
    <cfRule type="containsText" dxfId="25" priority="8" operator="containsText" text="At Risk"/>
  </conditionalFormatting>
  <conditionalFormatting sqref="D2:D13">
    <cfRule type="containsText" dxfId="24" priority="14" operator="containsText" text="Amber"/>
    <cfRule type="containsText" dxfId="23" priority="15" operator="containsText" text="Green"/>
  </conditionalFormatting>
  <conditionalFormatting sqref="F2:F12">
    <cfRule type="dataBar" priority="5">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extLst>
        <ext xmlns:x14="http://schemas.microsoft.com/office/spreadsheetml/2009/9/main" uri="{B025F937-C7B1-47D3-B67F-A62EFF666E3E}">
          <x14:id>{C396F6AF-21C4-4FA7-97B0-3F36B31F276E}</x14:id>
        </ext>
      </extLst>
    </cfRule>
  </conditionalFormatting>
  <dataValidations count="3">
    <dataValidation type="list" sqref="C2:C12" xr:uid="{379B840A-EE6F-4230-AA9A-6C9B47854984}">
      <formula1>"Not Started,Pending,In Progress,Ongoing,At Risk,On Hold,Completed,Roadmap,Readiness,Evaluation"</formula1>
    </dataValidation>
    <dataValidation type="decimal" sqref="F2:F12" xr:uid="{E823B7CE-03D3-4348-84CA-F812E48F83D0}">
      <formula1>0</formula1>
      <formula2>1</formula2>
    </dataValidation>
    <dataValidation type="list" sqref="D2:D13" xr:uid="{B3788653-AA44-4F6E-8CDC-D7C44DB1F981}">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C396F6AF-21C4-4FA7-97B0-3F36B31F276E}">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7"/>
  <sheetViews>
    <sheetView showGridLines="0" workbookViewId="0">
      <pane ySplit="1" topLeftCell="A2" activePane="bottomLeft" state="frozen"/>
      <selection pane="bottomLeft" activeCell="B4" sqref="B4"/>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 min="14" max="14" width="24" customWidth="1"/>
  </cols>
  <sheetData>
    <row r="1" spans="1:14" ht="28">
      <c r="A1" s="107" t="s">
        <v>0</v>
      </c>
      <c r="B1" s="107" t="s">
        <v>1</v>
      </c>
      <c r="C1" s="107" t="s">
        <v>2</v>
      </c>
      <c r="D1" s="107" t="s">
        <v>3</v>
      </c>
      <c r="E1" s="107" t="s">
        <v>4</v>
      </c>
      <c r="F1" s="107" t="s">
        <v>347</v>
      </c>
      <c r="G1" s="107" t="s">
        <v>5</v>
      </c>
      <c r="H1" s="107" t="s">
        <v>6</v>
      </c>
      <c r="I1" s="107" t="s">
        <v>7</v>
      </c>
      <c r="J1" s="107" t="s">
        <v>8</v>
      </c>
      <c r="K1" s="107" t="s">
        <v>9</v>
      </c>
      <c r="L1" s="107" t="s">
        <v>10</v>
      </c>
      <c r="M1" s="107" t="s">
        <v>11</v>
      </c>
      <c r="N1" s="107" t="s">
        <v>12</v>
      </c>
    </row>
    <row r="2" spans="1:14" ht="78" customHeight="1">
      <c r="A2" s="16">
        <v>1</v>
      </c>
      <c r="B2" s="5" t="s">
        <v>203</v>
      </c>
      <c r="C2" s="65" t="s">
        <v>520</v>
      </c>
      <c r="D2" s="108" t="s">
        <v>21</v>
      </c>
      <c r="E2" s="17">
        <v>46240</v>
      </c>
      <c r="F2" s="17" t="s">
        <v>521</v>
      </c>
      <c r="G2" s="18">
        <v>1</v>
      </c>
      <c r="H2" s="5" t="s">
        <v>522</v>
      </c>
      <c r="I2" s="5" t="s">
        <v>523</v>
      </c>
      <c r="J2" s="5" t="s">
        <v>524</v>
      </c>
      <c r="K2" s="5" t="s">
        <v>525</v>
      </c>
      <c r="L2" s="5" t="s">
        <v>526</v>
      </c>
      <c r="M2" s="5" t="s">
        <v>527</v>
      </c>
      <c r="N2" s="5" t="s">
        <v>528</v>
      </c>
    </row>
    <row r="3" spans="1:14" ht="78" customHeight="1">
      <c r="A3" s="16">
        <v>2</v>
      </c>
      <c r="B3" s="5" t="s">
        <v>204</v>
      </c>
      <c r="C3" s="65" t="s">
        <v>529</v>
      </c>
      <c r="D3" s="71" t="s">
        <v>21</v>
      </c>
      <c r="E3" s="17">
        <v>46240</v>
      </c>
      <c r="F3" s="17" t="s">
        <v>14</v>
      </c>
      <c r="G3" s="18">
        <v>1</v>
      </c>
      <c r="H3" s="5" t="s">
        <v>205</v>
      </c>
      <c r="I3" s="5" t="s">
        <v>530</v>
      </c>
      <c r="J3" s="5" t="s">
        <v>531</v>
      </c>
      <c r="K3" s="5" t="s">
        <v>206</v>
      </c>
      <c r="L3" s="5" t="s">
        <v>532</v>
      </c>
      <c r="M3" s="5" t="s">
        <v>533</v>
      </c>
      <c r="N3" s="5" t="s">
        <v>534</v>
      </c>
    </row>
    <row r="4" spans="1:14" ht="78" customHeight="1">
      <c r="A4" s="16">
        <v>3</v>
      </c>
      <c r="B4" s="5" t="s">
        <v>207</v>
      </c>
      <c r="C4" s="65" t="s">
        <v>67</v>
      </c>
      <c r="D4" s="71" t="s">
        <v>21</v>
      </c>
      <c r="E4" s="17">
        <v>46240</v>
      </c>
      <c r="F4" s="17" t="s">
        <v>14</v>
      </c>
      <c r="G4" s="18">
        <v>1</v>
      </c>
      <c r="H4" s="5" t="s">
        <v>208</v>
      </c>
      <c r="I4" s="5" t="s">
        <v>209</v>
      </c>
      <c r="J4" s="5" t="s">
        <v>210</v>
      </c>
      <c r="K4" s="5" t="s">
        <v>211</v>
      </c>
      <c r="L4" s="5" t="s">
        <v>212</v>
      </c>
      <c r="M4" s="5" t="s">
        <v>213</v>
      </c>
      <c r="N4" s="5" t="s">
        <v>214</v>
      </c>
    </row>
    <row r="5" spans="1:14" ht="78" customHeight="1">
      <c r="A5" s="16">
        <v>4</v>
      </c>
      <c r="B5" s="5" t="s">
        <v>215</v>
      </c>
      <c r="C5" s="65" t="s">
        <v>67</v>
      </c>
      <c r="D5" s="71" t="s">
        <v>21</v>
      </c>
      <c r="E5" s="17">
        <v>46265</v>
      </c>
      <c r="F5" s="17" t="s">
        <v>535</v>
      </c>
      <c r="G5" s="18">
        <v>1</v>
      </c>
      <c r="H5" s="5" t="s">
        <v>536</v>
      </c>
      <c r="I5" s="5" t="s">
        <v>537</v>
      </c>
      <c r="J5" s="5" t="s">
        <v>538</v>
      </c>
      <c r="K5" s="5" t="s">
        <v>539</v>
      </c>
      <c r="L5" s="5" t="s">
        <v>540</v>
      </c>
      <c r="M5" s="5" t="s">
        <v>541</v>
      </c>
      <c r="N5" s="5" t="s">
        <v>542</v>
      </c>
    </row>
    <row r="6" spans="1:14" ht="96" customHeight="1">
      <c r="A6" s="11">
        <v>5</v>
      </c>
      <c r="B6" s="12" t="s">
        <v>216</v>
      </c>
      <c r="C6" s="66" t="s">
        <v>543</v>
      </c>
      <c r="D6" s="68" t="s">
        <v>13</v>
      </c>
      <c r="E6" s="13">
        <v>46266</v>
      </c>
      <c r="F6" s="13" t="s">
        <v>544</v>
      </c>
      <c r="G6" s="14">
        <v>0.9</v>
      </c>
      <c r="H6" s="12" t="s">
        <v>545</v>
      </c>
      <c r="I6" s="12" t="s">
        <v>546</v>
      </c>
      <c r="J6" s="12" t="s">
        <v>547</v>
      </c>
      <c r="K6" s="12" t="s">
        <v>548</v>
      </c>
      <c r="L6" s="12" t="s">
        <v>549</v>
      </c>
      <c r="M6" s="12" t="s">
        <v>550</v>
      </c>
      <c r="N6" s="12" t="s">
        <v>551</v>
      </c>
    </row>
    <row r="7" spans="1:14" ht="78" customHeight="1">
      <c r="A7" s="16">
        <v>6</v>
      </c>
      <c r="B7" s="5" t="s">
        <v>217</v>
      </c>
      <c r="C7" s="65" t="s">
        <v>67</v>
      </c>
      <c r="D7" s="71" t="s">
        <v>21</v>
      </c>
      <c r="E7" s="17">
        <v>46240</v>
      </c>
      <c r="F7" s="17" t="s">
        <v>14</v>
      </c>
      <c r="G7" s="18">
        <v>1</v>
      </c>
      <c r="H7" s="5" t="s">
        <v>218</v>
      </c>
      <c r="I7" s="5" t="s">
        <v>219</v>
      </c>
      <c r="J7" s="5" t="s">
        <v>220</v>
      </c>
      <c r="K7" s="5" t="s">
        <v>221</v>
      </c>
      <c r="L7" s="5" t="s">
        <v>222</v>
      </c>
      <c r="M7" s="5" t="s">
        <v>223</v>
      </c>
      <c r="N7" s="5" t="s">
        <v>224</v>
      </c>
    </row>
    <row r="8" spans="1:14" ht="78" customHeight="1">
      <c r="A8" s="16">
        <v>7</v>
      </c>
      <c r="B8" s="5" t="s">
        <v>225</v>
      </c>
      <c r="C8" s="65" t="s">
        <v>67</v>
      </c>
      <c r="D8" s="71" t="s">
        <v>21</v>
      </c>
      <c r="E8" s="17">
        <v>46240</v>
      </c>
      <c r="F8" s="17" t="s">
        <v>14</v>
      </c>
      <c r="G8" s="18">
        <v>1</v>
      </c>
      <c r="H8" s="5" t="s">
        <v>226</v>
      </c>
      <c r="I8" s="5" t="s">
        <v>227</v>
      </c>
      <c r="J8" s="5" t="s">
        <v>228</v>
      </c>
      <c r="K8" s="5" t="s">
        <v>229</v>
      </c>
      <c r="L8" s="5" t="s">
        <v>230</v>
      </c>
      <c r="M8" s="5" t="s">
        <v>231</v>
      </c>
      <c r="N8" s="5" t="s">
        <v>232</v>
      </c>
    </row>
    <row r="9" spans="1:14" ht="78" customHeight="1">
      <c r="A9" s="16">
        <v>8</v>
      </c>
      <c r="B9" s="5" t="s">
        <v>233</v>
      </c>
      <c r="C9" s="65" t="s">
        <v>67</v>
      </c>
      <c r="D9" s="71" t="s">
        <v>21</v>
      </c>
      <c r="E9" s="17">
        <v>46265</v>
      </c>
      <c r="F9" s="17" t="s">
        <v>14</v>
      </c>
      <c r="G9" s="18">
        <v>1</v>
      </c>
      <c r="H9" s="5" t="s">
        <v>234</v>
      </c>
      <c r="I9" s="5" t="s">
        <v>235</v>
      </c>
      <c r="J9" s="5" t="s">
        <v>236</v>
      </c>
      <c r="K9" s="5" t="s">
        <v>237</v>
      </c>
      <c r="L9" s="5" t="s">
        <v>238</v>
      </c>
      <c r="M9" s="5" t="s">
        <v>239</v>
      </c>
      <c r="N9" s="5" t="s">
        <v>240</v>
      </c>
    </row>
    <row r="10" spans="1:14" ht="78" customHeight="1">
      <c r="A10" s="16">
        <v>9</v>
      </c>
      <c r="B10" s="5" t="s">
        <v>241</v>
      </c>
      <c r="C10" s="65" t="s">
        <v>242</v>
      </c>
      <c r="D10" s="71" t="s">
        <v>21</v>
      </c>
      <c r="E10" s="17">
        <v>46240</v>
      </c>
      <c r="F10" s="17">
        <v>46265</v>
      </c>
      <c r="G10" s="18">
        <v>1</v>
      </c>
      <c r="H10" s="5" t="s">
        <v>243</v>
      </c>
      <c r="I10" s="5" t="s">
        <v>244</v>
      </c>
      <c r="J10" s="5" t="s">
        <v>245</v>
      </c>
      <c r="K10" s="5" t="s">
        <v>246</v>
      </c>
      <c r="L10" s="5" t="s">
        <v>247</v>
      </c>
      <c r="M10" s="5" t="s">
        <v>248</v>
      </c>
      <c r="N10" s="5" t="s">
        <v>249</v>
      </c>
    </row>
    <row r="11" spans="1:14" ht="78" customHeight="1">
      <c r="A11" s="16">
        <v>10</v>
      </c>
      <c r="B11" s="5" t="s">
        <v>250</v>
      </c>
      <c r="C11" s="71" t="s">
        <v>552</v>
      </c>
      <c r="D11" s="71" t="s">
        <v>21</v>
      </c>
      <c r="E11" s="17" t="s">
        <v>267</v>
      </c>
      <c r="F11" s="17" t="s">
        <v>268</v>
      </c>
      <c r="G11" s="18">
        <v>0.9</v>
      </c>
      <c r="H11" s="5" t="s">
        <v>269</v>
      </c>
      <c r="I11" s="5" t="s">
        <v>553</v>
      </c>
      <c r="J11" s="5" t="s">
        <v>554</v>
      </c>
      <c r="K11" s="5" t="s">
        <v>555</v>
      </c>
      <c r="L11" s="5" t="s">
        <v>556</v>
      </c>
      <c r="M11" s="5" t="s">
        <v>557</v>
      </c>
      <c r="N11" s="5" t="s">
        <v>558</v>
      </c>
    </row>
    <row r="12" spans="1:14" ht="78" customHeight="1">
      <c r="A12" s="16">
        <v>11</v>
      </c>
      <c r="B12" s="5" t="s">
        <v>251</v>
      </c>
      <c r="C12" s="71" t="s">
        <v>270</v>
      </c>
      <c r="D12" s="71" t="s">
        <v>21</v>
      </c>
      <c r="E12" s="17" t="s">
        <v>267</v>
      </c>
      <c r="F12" s="17" t="s">
        <v>271</v>
      </c>
      <c r="G12" s="18">
        <v>0.9</v>
      </c>
      <c r="H12" s="5" t="s">
        <v>272</v>
      </c>
      <c r="I12" s="5" t="s">
        <v>273</v>
      </c>
      <c r="J12" s="5" t="s">
        <v>274</v>
      </c>
      <c r="K12" s="5" t="s">
        <v>275</v>
      </c>
      <c r="L12" s="5" t="s">
        <v>276</v>
      </c>
      <c r="M12" s="5" t="s">
        <v>277</v>
      </c>
      <c r="N12" s="5" t="s">
        <v>278</v>
      </c>
    </row>
    <row r="13" spans="1:14" ht="78" customHeight="1">
      <c r="A13" s="16">
        <v>12</v>
      </c>
      <c r="B13" s="5" t="s">
        <v>252</v>
      </c>
      <c r="C13" s="66" t="s">
        <v>253</v>
      </c>
      <c r="D13" s="109" t="s">
        <v>13</v>
      </c>
      <c r="E13" s="17">
        <v>46240</v>
      </c>
      <c r="F13" s="17" t="s">
        <v>14</v>
      </c>
      <c r="G13" s="18">
        <v>0.85</v>
      </c>
      <c r="H13" s="5" t="s">
        <v>254</v>
      </c>
      <c r="I13" s="5" t="s">
        <v>255</v>
      </c>
      <c r="J13" s="5" t="s">
        <v>256</v>
      </c>
      <c r="K13" s="5" t="s">
        <v>257</v>
      </c>
      <c r="L13" s="5" t="s">
        <v>258</v>
      </c>
      <c r="M13" s="5" t="s">
        <v>259</v>
      </c>
      <c r="N13" s="5" t="s">
        <v>260</v>
      </c>
    </row>
    <row r="14" spans="1:14" ht="96" customHeight="1">
      <c r="A14" s="11">
        <v>13</v>
      </c>
      <c r="B14" s="12" t="s">
        <v>279</v>
      </c>
      <c r="C14" s="71" t="s">
        <v>559</v>
      </c>
      <c r="D14" s="71" t="s">
        <v>21</v>
      </c>
      <c r="E14" s="13" t="s">
        <v>68</v>
      </c>
      <c r="F14" s="13" t="s">
        <v>560</v>
      </c>
      <c r="G14" s="14">
        <v>0.9</v>
      </c>
      <c r="H14" s="12" t="s">
        <v>280</v>
      </c>
      <c r="I14" s="12" t="s">
        <v>561</v>
      </c>
      <c r="J14" s="12" t="s">
        <v>562</v>
      </c>
      <c r="K14" s="12" t="s">
        <v>563</v>
      </c>
      <c r="L14" s="12" t="s">
        <v>564</v>
      </c>
      <c r="M14" s="12" t="s">
        <v>565</v>
      </c>
      <c r="N14" s="12" t="s">
        <v>566</v>
      </c>
    </row>
    <row r="15" spans="1:14" ht="100">
      <c r="A15" s="11">
        <v>14</v>
      </c>
      <c r="B15" s="12" t="s">
        <v>567</v>
      </c>
      <c r="C15" s="71" t="s">
        <v>568</v>
      </c>
      <c r="D15" s="71" t="s">
        <v>21</v>
      </c>
      <c r="E15" s="13">
        <v>46293</v>
      </c>
      <c r="F15" s="13" t="s">
        <v>569</v>
      </c>
      <c r="G15" s="14">
        <v>0.9</v>
      </c>
      <c r="H15" s="12" t="s">
        <v>570</v>
      </c>
      <c r="I15" s="12" t="s">
        <v>571</v>
      </c>
      <c r="J15" s="12" t="s">
        <v>572</v>
      </c>
      <c r="K15" s="12" t="s">
        <v>573</v>
      </c>
      <c r="L15" s="12" t="s">
        <v>574</v>
      </c>
      <c r="M15" s="12" t="s">
        <v>575</v>
      </c>
      <c r="N15" s="12" t="s">
        <v>576</v>
      </c>
    </row>
    <row r="16" spans="1:14" ht="125">
      <c r="A16" s="11">
        <v>15</v>
      </c>
      <c r="B16" s="12" t="s">
        <v>577</v>
      </c>
      <c r="C16" s="19" t="s">
        <v>578</v>
      </c>
      <c r="D16" s="72" t="s">
        <v>13</v>
      </c>
      <c r="E16" s="13">
        <v>46310</v>
      </c>
      <c r="F16" s="13" t="s">
        <v>579</v>
      </c>
      <c r="G16" s="14">
        <v>0.45</v>
      </c>
      <c r="H16" s="12" t="s">
        <v>580</v>
      </c>
      <c r="I16" s="12" t="s">
        <v>581</v>
      </c>
      <c r="J16" s="12" t="s">
        <v>582</v>
      </c>
      <c r="K16" s="12" t="s">
        <v>583</v>
      </c>
      <c r="L16" s="12" t="s">
        <v>584</v>
      </c>
      <c r="M16" s="12" t="s">
        <v>585</v>
      </c>
      <c r="N16" s="12" t="s">
        <v>551</v>
      </c>
    </row>
    <row r="17" spans="1:14" ht="112.5">
      <c r="A17" s="11">
        <v>16</v>
      </c>
      <c r="B17" s="12" t="s">
        <v>586</v>
      </c>
      <c r="C17" s="71" t="s">
        <v>67</v>
      </c>
      <c r="D17" s="71" t="s">
        <v>21</v>
      </c>
      <c r="E17" s="13">
        <v>46308</v>
      </c>
      <c r="F17" s="13" t="s">
        <v>292</v>
      </c>
      <c r="G17" s="14">
        <v>1</v>
      </c>
      <c r="H17" s="12" t="s">
        <v>587</v>
      </c>
      <c r="I17" s="12" t="s">
        <v>588</v>
      </c>
      <c r="J17" s="12" t="s">
        <v>589</v>
      </c>
      <c r="K17" s="12" t="s">
        <v>590</v>
      </c>
      <c r="L17" s="12" t="s">
        <v>591</v>
      </c>
      <c r="M17" s="12" t="s">
        <v>592</v>
      </c>
      <c r="N17" s="12" t="s">
        <v>528</v>
      </c>
    </row>
  </sheetData>
  <conditionalFormatting sqref="C11:C12">
    <cfRule type="containsText" dxfId="22" priority="7" operator="containsText" text="Red"/>
    <cfRule type="containsText" dxfId="21" priority="8" operator="containsText" text="Amber"/>
    <cfRule type="containsText" dxfId="20" priority="9" operator="containsText" text="Green"/>
  </conditionalFormatting>
  <conditionalFormatting sqref="C14:D15">
    <cfRule type="containsText" dxfId="19" priority="4" operator="containsText" text="Red"/>
    <cfRule type="containsText" dxfId="18" priority="5" operator="containsText" text="Amber"/>
    <cfRule type="containsText" dxfId="17" priority="6" operator="containsText" text="Green"/>
  </conditionalFormatting>
  <conditionalFormatting sqref="C17:D17">
    <cfRule type="containsText" dxfId="16" priority="1" operator="containsText" text="Red"/>
    <cfRule type="containsText" dxfId="15" priority="2" operator="containsText" text="Amber"/>
    <cfRule type="containsText" dxfId="14" priority="3" operator="containsText" text="Green"/>
  </conditionalFormatting>
  <conditionalFormatting sqref="D2:D12">
    <cfRule type="containsText" dxfId="13" priority="12" operator="containsText" text="Red"/>
    <cfRule type="containsText" dxfId="12" priority="13" operator="containsText" text="Amber"/>
    <cfRule type="containsText" dxfId="11" priority="14" operator="containsText" text="Green"/>
  </conditionalFormatting>
  <conditionalFormatting sqref="F2:F13">
    <cfRule type="dataBar" priority="10">
      <dataBar>
        <cfvo type="min"/>
        <cfvo type="max"/>
        <color rgb="FF5B9BD5"/>
      </dataBar>
    </cfRule>
    <cfRule type="dataBar" priority="11">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extLst>
        <ext xmlns:x14="http://schemas.microsoft.com/office/spreadsheetml/2009/9/main" uri="{B025F937-C7B1-47D3-B67F-A62EFF666E3E}">
          <x14:id>{CC73D050-47EE-4D35-AB70-86594038F48C}</x14:id>
        </ext>
      </extLst>
    </cfRule>
  </conditionalFormatting>
  <dataValidations count="1">
    <dataValidation type="list" sqref="D2:D12 D14:D15 D17" xr:uid="{17789BC5-EE23-41ED-A626-51AE4B7897DB}">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C73D050-47EE-4D35-AB70-86594038F48C}">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7"/>
  <sheetViews>
    <sheetView workbookViewId="0">
      <selection activeCell="B2" sqref="B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29">
      <c r="A1" s="6" t="s">
        <v>0</v>
      </c>
      <c r="B1" s="6" t="s">
        <v>1</v>
      </c>
      <c r="C1" s="6" t="s">
        <v>2</v>
      </c>
      <c r="D1" s="6" t="s">
        <v>3</v>
      </c>
      <c r="E1" s="6" t="s">
        <v>4</v>
      </c>
      <c r="F1" s="6" t="s">
        <v>347</v>
      </c>
      <c r="G1" s="6" t="s">
        <v>5</v>
      </c>
      <c r="H1" s="6" t="s">
        <v>6</v>
      </c>
      <c r="I1" s="6" t="s">
        <v>7</v>
      </c>
      <c r="J1" s="6" t="s">
        <v>8</v>
      </c>
      <c r="K1" s="6" t="s">
        <v>9</v>
      </c>
      <c r="L1" s="6" t="s">
        <v>10</v>
      </c>
      <c r="M1" s="6" t="s">
        <v>11</v>
      </c>
      <c r="N1" s="1" t="s">
        <v>12</v>
      </c>
    </row>
    <row r="2" spans="1:14" ht="70">
      <c r="A2" s="7">
        <v>1</v>
      </c>
      <c r="B2" s="8" t="s">
        <v>146</v>
      </c>
      <c r="C2" s="7" t="s">
        <v>17</v>
      </c>
      <c r="D2" s="61" t="s">
        <v>13</v>
      </c>
      <c r="E2" s="9" t="s">
        <v>14</v>
      </c>
      <c r="F2" s="9" t="s">
        <v>14</v>
      </c>
      <c r="G2" s="10">
        <v>0.55000000000000004</v>
      </c>
      <c r="H2" s="8" t="s">
        <v>147</v>
      </c>
      <c r="I2" s="8" t="s">
        <v>148</v>
      </c>
      <c r="J2" s="8" t="s">
        <v>149</v>
      </c>
      <c r="K2" s="8" t="s">
        <v>593</v>
      </c>
      <c r="L2" s="8" t="s">
        <v>150</v>
      </c>
      <c r="M2" s="8" t="s">
        <v>151</v>
      </c>
      <c r="N2" s="4" t="s">
        <v>15</v>
      </c>
    </row>
    <row r="3" spans="1:14" ht="187.5">
      <c r="A3" s="11">
        <v>2</v>
      </c>
      <c r="B3" s="12" t="s">
        <v>594</v>
      </c>
      <c r="C3" s="15" t="s">
        <v>595</v>
      </c>
      <c r="D3" s="61" t="s">
        <v>13</v>
      </c>
      <c r="E3" s="13" t="s">
        <v>596</v>
      </c>
      <c r="F3" s="13" t="s">
        <v>597</v>
      </c>
      <c r="G3" s="14">
        <v>0.7</v>
      </c>
      <c r="H3" s="12" t="s">
        <v>598</v>
      </c>
      <c r="I3" s="12" t="s">
        <v>599</v>
      </c>
      <c r="J3" s="12" t="s">
        <v>600</v>
      </c>
      <c r="K3" s="12" t="s">
        <v>601</v>
      </c>
      <c r="L3" s="12" t="s">
        <v>602</v>
      </c>
      <c r="M3" s="12" t="s">
        <v>603</v>
      </c>
      <c r="N3" s="12" t="s">
        <v>604</v>
      </c>
    </row>
    <row r="4" spans="1:14" ht="182">
      <c r="A4" s="7">
        <v>3</v>
      </c>
      <c r="B4" s="8" t="s">
        <v>605</v>
      </c>
      <c r="C4" s="7" t="s">
        <v>606</v>
      </c>
      <c r="D4" s="62" t="s">
        <v>13</v>
      </c>
      <c r="E4" s="9" t="s">
        <v>607</v>
      </c>
      <c r="F4" s="9" t="s">
        <v>608</v>
      </c>
      <c r="G4" s="10">
        <v>0.6</v>
      </c>
      <c r="H4" s="8" t="s">
        <v>609</v>
      </c>
      <c r="I4" s="8" t="s">
        <v>610</v>
      </c>
      <c r="J4" s="8" t="s">
        <v>611</v>
      </c>
      <c r="K4" s="8" t="s">
        <v>612</v>
      </c>
      <c r="L4" s="8" t="s">
        <v>613</v>
      </c>
      <c r="M4" s="8" t="s">
        <v>614</v>
      </c>
      <c r="N4" s="4" t="s">
        <v>615</v>
      </c>
    </row>
    <row r="5" spans="1:14" ht="70">
      <c r="A5" s="7">
        <v>4</v>
      </c>
      <c r="B5" s="8" t="s">
        <v>616</v>
      </c>
      <c r="C5" s="7" t="s">
        <v>617</v>
      </c>
      <c r="D5" s="110" t="s">
        <v>21</v>
      </c>
      <c r="E5" s="9">
        <v>46237</v>
      </c>
      <c r="F5" s="9" t="s">
        <v>14</v>
      </c>
      <c r="G5" s="10">
        <v>1</v>
      </c>
      <c r="H5" s="8" t="s">
        <v>618</v>
      </c>
      <c r="I5" s="8" t="s">
        <v>619</v>
      </c>
      <c r="J5" s="8" t="s">
        <v>620</v>
      </c>
      <c r="K5" s="8" t="s">
        <v>593</v>
      </c>
      <c r="L5" s="8" t="s">
        <v>621</v>
      </c>
      <c r="M5" s="8" t="s">
        <v>622</v>
      </c>
      <c r="N5" s="4" t="s">
        <v>15</v>
      </c>
    </row>
    <row r="6" spans="1:14" ht="70">
      <c r="A6" s="7">
        <v>5</v>
      </c>
      <c r="B6" s="8" t="s">
        <v>152</v>
      </c>
      <c r="C6" s="7" t="s">
        <v>17</v>
      </c>
      <c r="D6" s="62" t="s">
        <v>13</v>
      </c>
      <c r="E6" s="9">
        <v>46237</v>
      </c>
      <c r="F6" s="9" t="s">
        <v>14</v>
      </c>
      <c r="G6" s="10">
        <v>0.5</v>
      </c>
      <c r="H6" s="8" t="s">
        <v>623</v>
      </c>
      <c r="I6" s="8" t="s">
        <v>624</v>
      </c>
      <c r="J6" s="8" t="s">
        <v>625</v>
      </c>
      <c r="K6" s="8" t="s">
        <v>593</v>
      </c>
      <c r="L6" s="8" t="s">
        <v>626</v>
      </c>
      <c r="M6" s="8" t="s">
        <v>627</v>
      </c>
      <c r="N6" s="4" t="s">
        <v>15</v>
      </c>
    </row>
    <row r="7" spans="1:14" ht="70">
      <c r="A7" s="7">
        <v>6</v>
      </c>
      <c r="B7" s="8" t="s">
        <v>153</v>
      </c>
      <c r="C7" s="7" t="s">
        <v>154</v>
      </c>
      <c r="D7" s="62" t="s">
        <v>13</v>
      </c>
      <c r="E7" s="9">
        <v>46237</v>
      </c>
      <c r="F7" s="9" t="s">
        <v>14</v>
      </c>
      <c r="G7" s="10">
        <v>0.5</v>
      </c>
      <c r="H7" s="8" t="s">
        <v>155</v>
      </c>
      <c r="I7" s="8" t="s">
        <v>156</v>
      </c>
      <c r="J7" s="8" t="s">
        <v>157</v>
      </c>
      <c r="K7" s="8" t="s">
        <v>593</v>
      </c>
      <c r="L7" s="8" t="s">
        <v>158</v>
      </c>
      <c r="M7" s="8" t="s">
        <v>159</v>
      </c>
      <c r="N7" s="4" t="s">
        <v>15</v>
      </c>
    </row>
    <row r="8" spans="1:14" ht="182">
      <c r="A8" s="7">
        <v>7</v>
      </c>
      <c r="B8" s="8" t="s">
        <v>160</v>
      </c>
      <c r="C8" s="7" t="s">
        <v>628</v>
      </c>
      <c r="D8" s="62" t="s">
        <v>13</v>
      </c>
      <c r="E8" s="9">
        <v>46237</v>
      </c>
      <c r="F8" s="9" t="s">
        <v>14</v>
      </c>
      <c r="G8" s="10" t="s">
        <v>14</v>
      </c>
      <c r="H8" s="8" t="s">
        <v>629</v>
      </c>
      <c r="I8" s="8" t="s">
        <v>630</v>
      </c>
      <c r="J8" s="8" t="s">
        <v>631</v>
      </c>
      <c r="K8" s="8" t="s">
        <v>593</v>
      </c>
      <c r="L8" s="8" t="s">
        <v>632</v>
      </c>
      <c r="M8" s="8" t="s">
        <v>633</v>
      </c>
      <c r="N8" s="4" t="s">
        <v>615</v>
      </c>
    </row>
    <row r="9" spans="1:14" ht="70">
      <c r="A9" s="7">
        <v>8</v>
      </c>
      <c r="B9" s="8" t="s">
        <v>161</v>
      </c>
      <c r="C9" s="7" t="s">
        <v>162</v>
      </c>
      <c r="D9" s="62" t="s">
        <v>13</v>
      </c>
      <c r="E9" s="9">
        <v>46237</v>
      </c>
      <c r="F9" s="9" t="s">
        <v>14</v>
      </c>
      <c r="G9" s="10">
        <v>1</v>
      </c>
      <c r="H9" s="8" t="s">
        <v>163</v>
      </c>
      <c r="I9" s="8" t="s">
        <v>164</v>
      </c>
      <c r="J9" s="8" t="s">
        <v>165</v>
      </c>
      <c r="K9" s="8" t="s">
        <v>593</v>
      </c>
      <c r="L9" s="8" t="s">
        <v>166</v>
      </c>
      <c r="M9" s="8" t="s">
        <v>167</v>
      </c>
      <c r="N9" s="4" t="s">
        <v>15</v>
      </c>
    </row>
    <row r="10" spans="1:14" ht="70">
      <c r="A10" s="7">
        <v>9</v>
      </c>
      <c r="B10" s="8" t="s">
        <v>168</v>
      </c>
      <c r="C10" s="7" t="s">
        <v>169</v>
      </c>
      <c r="D10" s="62" t="s">
        <v>13</v>
      </c>
      <c r="E10" s="9">
        <v>46237</v>
      </c>
      <c r="F10" s="9" t="s">
        <v>14</v>
      </c>
      <c r="G10" s="10">
        <v>0.25</v>
      </c>
      <c r="H10" s="8" t="s">
        <v>170</v>
      </c>
      <c r="I10" s="8" t="s">
        <v>171</v>
      </c>
      <c r="J10" s="8" t="s">
        <v>172</v>
      </c>
      <c r="K10" s="8" t="s">
        <v>593</v>
      </c>
      <c r="L10" s="8" t="s">
        <v>173</v>
      </c>
      <c r="M10" s="8" t="s">
        <v>174</v>
      </c>
      <c r="N10" s="4" t="s">
        <v>15</v>
      </c>
    </row>
    <row r="11" spans="1:14" ht="70">
      <c r="A11" s="7">
        <v>10</v>
      </c>
      <c r="B11" s="8" t="s">
        <v>175</v>
      </c>
      <c r="C11" s="7" t="s">
        <v>176</v>
      </c>
      <c r="D11" s="62" t="s">
        <v>13</v>
      </c>
      <c r="E11" s="9">
        <v>46237</v>
      </c>
      <c r="F11" s="9" t="s">
        <v>14</v>
      </c>
      <c r="G11" s="10">
        <v>0.25</v>
      </c>
      <c r="H11" s="8" t="s">
        <v>177</v>
      </c>
      <c r="I11" s="8" t="s">
        <v>178</v>
      </c>
      <c r="J11" s="8" t="s">
        <v>179</v>
      </c>
      <c r="K11" s="8" t="s">
        <v>593</v>
      </c>
      <c r="L11" s="8" t="s">
        <v>180</v>
      </c>
      <c r="M11" s="8" t="s">
        <v>181</v>
      </c>
      <c r="N11" s="4" t="s">
        <v>15</v>
      </c>
    </row>
    <row r="12" spans="1:14" ht="70">
      <c r="A12" s="7">
        <v>11</v>
      </c>
      <c r="B12" s="8" t="s">
        <v>182</v>
      </c>
      <c r="C12" s="7" t="s">
        <v>183</v>
      </c>
      <c r="D12" s="62" t="s">
        <v>13</v>
      </c>
      <c r="E12" s="9">
        <v>46237</v>
      </c>
      <c r="F12" s="9" t="s">
        <v>14</v>
      </c>
      <c r="G12" s="10">
        <v>0.5</v>
      </c>
      <c r="H12" s="8" t="s">
        <v>184</v>
      </c>
      <c r="I12" s="8" t="s">
        <v>185</v>
      </c>
      <c r="J12" s="8" t="s">
        <v>186</v>
      </c>
      <c r="K12" s="8" t="s">
        <v>593</v>
      </c>
      <c r="L12" s="8" t="s">
        <v>187</v>
      </c>
      <c r="M12" s="8" t="s">
        <v>188</v>
      </c>
      <c r="N12" s="4" t="s">
        <v>15</v>
      </c>
    </row>
    <row r="13" spans="1:14" ht="125">
      <c r="A13" s="11">
        <v>12</v>
      </c>
      <c r="B13" s="105" t="s">
        <v>634</v>
      </c>
      <c r="C13" s="105" t="s">
        <v>635</v>
      </c>
      <c r="D13" s="62" t="s">
        <v>13</v>
      </c>
      <c r="E13" s="13" t="s">
        <v>636</v>
      </c>
      <c r="F13" s="13" t="s">
        <v>637</v>
      </c>
      <c r="G13" s="14">
        <v>0.65</v>
      </c>
      <c r="H13" s="12" t="s">
        <v>638</v>
      </c>
      <c r="I13" s="12" t="s">
        <v>639</v>
      </c>
      <c r="J13" s="12" t="s">
        <v>640</v>
      </c>
      <c r="K13" s="12" t="s">
        <v>641</v>
      </c>
      <c r="L13" s="12" t="s">
        <v>642</v>
      </c>
      <c r="M13" s="12" t="s">
        <v>643</v>
      </c>
      <c r="N13" s="12" t="s">
        <v>615</v>
      </c>
    </row>
    <row r="14" spans="1:14" ht="87.5">
      <c r="A14" s="11">
        <v>13</v>
      </c>
      <c r="B14" s="12" t="s">
        <v>189</v>
      </c>
      <c r="C14" s="19" t="s">
        <v>190</v>
      </c>
      <c r="D14" s="67" t="s">
        <v>13</v>
      </c>
      <c r="E14" s="13" t="s">
        <v>191</v>
      </c>
      <c r="F14" s="13" t="s">
        <v>192</v>
      </c>
      <c r="G14" s="14">
        <v>0.75</v>
      </c>
      <c r="H14" s="12" t="s">
        <v>193</v>
      </c>
      <c r="I14" s="12" t="s">
        <v>644</v>
      </c>
      <c r="J14" s="12" t="s">
        <v>194</v>
      </c>
      <c r="K14" s="12" t="s">
        <v>195</v>
      </c>
      <c r="L14" s="12" t="s">
        <v>196</v>
      </c>
      <c r="M14" s="12" t="s">
        <v>197</v>
      </c>
      <c r="N14" s="12" t="s">
        <v>35</v>
      </c>
    </row>
    <row r="15" spans="1:14" ht="112.5">
      <c r="A15" s="11">
        <v>14</v>
      </c>
      <c r="B15" s="12" t="s">
        <v>198</v>
      </c>
      <c r="C15" s="19" t="s">
        <v>199</v>
      </c>
      <c r="D15" s="67" t="s">
        <v>13</v>
      </c>
      <c r="E15" s="13" t="s">
        <v>14</v>
      </c>
      <c r="F15" s="13" t="s">
        <v>14</v>
      </c>
      <c r="G15" s="14">
        <v>0.55000000000000004</v>
      </c>
      <c r="H15" s="12" t="s">
        <v>200</v>
      </c>
      <c r="I15" s="12" t="s">
        <v>262</v>
      </c>
      <c r="J15" s="12" t="s">
        <v>263</v>
      </c>
      <c r="K15" s="12" t="s">
        <v>645</v>
      </c>
      <c r="L15" s="12" t="s">
        <v>264</v>
      </c>
      <c r="M15" s="12" t="s">
        <v>201</v>
      </c>
      <c r="N15" s="12" t="s">
        <v>265</v>
      </c>
    </row>
    <row r="16" spans="1:14" ht="238">
      <c r="A16" s="16">
        <v>15</v>
      </c>
      <c r="B16" s="5" t="s">
        <v>202</v>
      </c>
      <c r="C16" s="19" t="s">
        <v>646</v>
      </c>
      <c r="D16" s="67" t="s">
        <v>13</v>
      </c>
      <c r="E16" s="17">
        <v>46283</v>
      </c>
      <c r="F16" s="16" t="s">
        <v>637</v>
      </c>
      <c r="G16" s="18">
        <v>0.1</v>
      </c>
      <c r="H16" s="5" t="s">
        <v>647</v>
      </c>
      <c r="I16" s="5" t="s">
        <v>648</v>
      </c>
      <c r="J16" s="5" t="s">
        <v>649</v>
      </c>
      <c r="K16" s="5" t="s">
        <v>650</v>
      </c>
      <c r="L16" s="5" t="s">
        <v>651</v>
      </c>
      <c r="M16" s="5" t="s">
        <v>652</v>
      </c>
      <c r="N16" s="5" t="s">
        <v>653</v>
      </c>
    </row>
    <row r="17" spans="1:14" ht="168">
      <c r="A17" s="5">
        <v>16</v>
      </c>
      <c r="B17" s="5" t="s">
        <v>654</v>
      </c>
      <c r="C17" s="19" t="s">
        <v>655</v>
      </c>
      <c r="D17" s="67" t="s">
        <v>13</v>
      </c>
      <c r="E17" s="5" t="s">
        <v>69</v>
      </c>
      <c r="F17" s="5" t="s">
        <v>656</v>
      </c>
      <c r="G17" s="111">
        <v>0.2</v>
      </c>
      <c r="H17" s="5" t="s">
        <v>657</v>
      </c>
      <c r="I17" s="5" t="s">
        <v>658</v>
      </c>
      <c r="J17" s="5" t="s">
        <v>659</v>
      </c>
      <c r="K17" s="5" t="s">
        <v>660</v>
      </c>
      <c r="L17" s="5" t="s">
        <v>661</v>
      </c>
      <c r="M17" s="5" t="s">
        <v>662</v>
      </c>
      <c r="N17" s="5" t="s">
        <v>663</v>
      </c>
    </row>
  </sheetData>
  <conditionalFormatting sqref="B13:C13">
    <cfRule type="containsText" dxfId="10" priority="1" operator="containsText" text="Completed"/>
    <cfRule type="containsText" dxfId="9" priority="2" operator="containsText" text="In Progress"/>
    <cfRule type="containsText" dxfId="8" priority="3" operator="containsText" text="At Risk"/>
    <cfRule type="containsText" dxfId="7" priority="4" operator="containsText" text="Not Started"/>
  </conditionalFormatting>
  <conditionalFormatting sqref="C2:C12">
    <cfRule type="containsText" dxfId="6" priority="6" operator="containsText" text="Completed"/>
    <cfRule type="containsText" dxfId="5" priority="7" operator="containsText" text="In Progress"/>
    <cfRule type="containsText" dxfId="4" priority="8" operator="containsText" text="At Risk"/>
    <cfRule type="containsText" dxfId="3" priority="9" operator="containsText" text="Not Started"/>
  </conditionalFormatting>
  <conditionalFormatting sqref="D2:D13">
    <cfRule type="containsText" dxfId="2" priority="14" operator="containsText" text="Red"/>
    <cfRule type="containsText" dxfId="1" priority="15" operator="containsText" text="Amber"/>
    <cfRule type="containsText" dxfId="0" priority="16" operator="containsText" text="Green"/>
  </conditionalFormatting>
  <conditionalFormatting sqref="F2:F12">
    <cfRule type="dataBar" priority="5">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extLst>
        <ext xmlns:x14="http://schemas.microsoft.com/office/spreadsheetml/2009/9/main" uri="{B025F937-C7B1-47D3-B67F-A62EFF666E3E}">
          <x14:id>{CB77939C-04DC-4903-A022-8E93EEFE2F9E}</x14:id>
        </ext>
      </extLst>
    </cfRule>
  </conditionalFormatting>
  <dataValidations count="3">
    <dataValidation type="list" sqref="D2:D12" xr:uid="{9390CA50-F7BA-4A2C-8FDE-93CC25C62E08}">
      <formula1>"Red,Amber,Green"</formula1>
    </dataValidation>
    <dataValidation type="decimal" sqref="F2:F12" xr:uid="{6EB79A11-F990-4553-A519-D884D322A4FC}">
      <formula1>0</formula1>
      <formula2>1</formula2>
    </dataValidation>
    <dataValidation type="list" sqref="C2:C12" xr:uid="{B00B5117-79E1-4430-8292-F8149DB9B611}">
      <formula1>"Not Started,Pending,In Progress,Ongoing,At Risk,On Hold,Completed,Roadmap,Readiness,Evaluation"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CB77939C-04DC-4903-A022-8E93EEFE2F9E}">
            <x14:dataBar>
              <x14:cfvo type="min"/>
              <x14:cfvo type="max"/>
              <x14:negativeFillColor auto="1"/>
              <x14:axisColor auto="1"/>
            </x14:dataBar>
          </x14:cfRule>
          <xm:sqref>F2:F12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IT Security</vt:lpstr>
      <vt:lpstr>Infrastructure &amp; Cloud</vt:lpstr>
      <vt:lpstr>IoT</vt:lpstr>
      <vt:lpstr>R&amp;D AI</vt:lpstr>
      <vt:lpstr>WCS Engineering</vt:lpstr>
      <vt:lpstr>IT 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2026-10-26T14:32:25Z</dcterms:modified>
</cp:coreProperties>
</file>