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rmoreno\Documents\Project References\US IT Network Projects\IT Program Management\"/>
    </mc:Choice>
  </mc:AlternateContent>
  <xr:revisionPtr revIDLastSave="0" documentId="13_ncr:1_{07557A21-D193-40EE-92A8-23DC50CD905E}" xr6:coauthVersionLast="47" xr6:coauthVersionMax="47" xr10:uidLastSave="{00000000-0000-0000-0000-000000000000}"/>
  <bookViews>
    <workbookView xWindow="-110" yWindow="-110" windowWidth="19420" windowHeight="11500" firstSheet="3" activeTab="4" xr2:uid="{00000000-000D-0000-FFFF-FFFF00000000}"/>
  </bookViews>
  <sheets>
    <sheet name="Security" sheetId="2" r:id="rId1"/>
    <sheet name="Infrastructure &amp; Cloud" sheetId="3" r:id="rId2"/>
    <sheet name="IoT" sheetId="4" r:id="rId3"/>
    <sheet name="R&amp;D AI" sheetId="5" r:id="rId4"/>
    <sheet name="WCS Engineering" sheetId="6" r:id="rId5"/>
    <sheet name="Compliance Program" sheetId="7" r:id="rId6"/>
    <sheet name="UNIS.CO Email &amp; Ticketing" sheetId="9" r:id="rId7"/>
    <sheet name="UNIS ITEM- eHub integration" sheetId="10"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4"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<sst xmlns="http://schemas.openxmlformats.org/spreadsheetml/2006/main" count="1654" uniqueCount="1166">
  <si>
    <t>#</t>
  </si>
  <si>
    <t>Project / Workstream</t>
  </si>
  <si>
    <t>Status</t>
  </si>
  <si>
    <t>RAG Status</t>
  </si>
  <si>
    <t>Start Date</t>
  </si>
  <si>
    <t>% of Completion</t>
  </si>
  <si>
    <t>Core Objective</t>
  </si>
  <si>
    <t>Current Progress</t>
  </si>
  <si>
    <t>Key Next Steps</t>
  </si>
  <si>
    <t>Owners / Direct Responsible Individual</t>
  </si>
  <si>
    <t>Key Risks / Blockers</t>
  </si>
  <si>
    <t>Management Attention</t>
  </si>
  <si>
    <t>Source / Notes</t>
  </si>
  <si>
    <t>Amber</t>
  </si>
  <si>
    <t>TBD</t>
  </si>
  <si>
    <t>Mike Wang, Robert</t>
  </si>
  <si>
    <t>User-provided project table</t>
  </si>
  <si>
    <t>Web Security</t>
  </si>
  <si>
    <t>In Progress</t>
  </si>
  <si>
    <t>DNS Security</t>
  </si>
  <si>
    <t>Security Awareness &amp; Incident Response</t>
  </si>
  <si>
    <t>Roadmap</t>
  </si>
  <si>
    <t>Green</t>
  </si>
  <si>
    <t>Reduce human-factor security risk</t>
  </si>
  <si>
    <t>All employees training and set up phishing simulations</t>
  </si>
  <si>
    <t>1. Phishing simulations
2. Security training sessions
3. Incident response drills</t>
  </si>
  <si>
    <t>See project scope/tasks and dependencies.</t>
  </si>
  <si>
    <t>Priority: N/A; Target: Q2</t>
  </si>
  <si>
    <t>Uploaded IT_Project_Roadmap_2026.xlsx</t>
  </si>
  <si>
    <t>Network MFA Rollout</t>
  </si>
  <si>
    <t>Protect SSL VPN and FortiGate administrator access with MFA.</t>
  </si>
  <si>
    <t>VPN MFA documentation is complete and pilot users have been added; administrator MFA through Microsoft remains under investigation.</t>
  </si>
  <si>
    <t>Complete pilot testing and implement the approved administrator MFA method.</t>
  </si>
  <si>
    <t>Jerimar Castaneda / IT Team</t>
  </si>
  <si>
    <t>Administrator access remains dependent on an unconfirmed MFA design.</t>
  </si>
  <si>
    <t>Confirm method and rollout date.</t>
  </si>
  <si>
    <t>IT Network Team Meeting Notes, 11-Sep-2026 PST</t>
  </si>
  <si>
    <t>Ticket 23527 Monitoring Access Review</t>
  </si>
  <si>
    <t>Authorization Review</t>
  </si>
  <si>
    <t>Migrate Olly Chen's monitoring environment while enforcing least privilege.</t>
  </si>
  <si>
    <t>The request covers migration from AWS to ITEM and management of assigned Raspberry Pi and robotics devices; ownership and authorization are not yet documented.</t>
  </si>
  <si>
    <t>Identify named users, approved activities, approving authority, and the exact device group; configure group-restricted access.</t>
  </si>
  <si>
    <t>Mel Gutierrez / China Engineering / Olly Chen / Approver</t>
  </si>
  <si>
    <t>Broad access could expose devices belonging to other groups.</t>
  </si>
  <si>
    <t>Do not grant unrestricted access; require an approved access matrix.</t>
  </si>
  <si>
    <t>IT Network Team Meeting Notes, 11-Sep-2026 PST; Ticket 23527</t>
  </si>
  <si>
    <t>Windows 10 Security Remediation</t>
  </si>
  <si>
    <t>Inventory / Compatibility Review</t>
  </si>
  <si>
    <t>Remove unsupported Windows 10 exposure without disrupting robotics operations.</t>
  </si>
  <si>
    <t>The endpoint population is not yet known; Mel can export the inventory from the current remote-management platform.</t>
  </si>
  <si>
    <t>Export inventory, test application compatibility, prioritize endpoints, and approve phased upgrade or replacement.</t>
  </si>
  <si>
    <t>Mel Gutierrez / Robert Moreno / Mike Wang / Robotics Team</t>
  </si>
  <si>
    <t>Unsupported endpoints create cybersecurity risk; incompatible upgrades could interrupt operations.</t>
  </si>
  <si>
    <t>Review risk-ranked inventory and remediation plan.</t>
  </si>
  <si>
    <t>Dedicated Teams Room PC Security</t>
  </si>
  <si>
    <t>Security Review / In Progress</t>
  </si>
  <si>
    <t>Enable persistent Teams-room use with an accountable licensed identity and secure unattended configuration.</t>
  </si>
  <si>
    <t>SBW1153 was removed from the domain and currently uses a passwordless local UNIS account.</t>
  </si>
  <si>
    <t>Create a dedicated licensed Microsoft account; document device ID, location, owner, users, configuration, and support ticket; apply unattended-use controls.</t>
  </si>
  <si>
    <t>Mel Gutierrez / Jesse Webb / Armin / Business Owner</t>
  </si>
  <si>
    <t>A passwordless local account creates unattended-login and accountability risk.</t>
  </si>
  <si>
    <t>Approve the dedicated-account and endpoint-control design.</t>
  </si>
  <si>
    <t>Amazon SP-PII Security Certification 2026</t>
  </si>
  <si>
    <t>Submitted / Pending Review</t>
  </si>
  <si>
    <t>2026-08-27</t>
  </si>
  <si>
    <t>Complete the annual Amazon SP-PII certification through formal reviewer acceptance.</t>
  </si>
  <si>
    <t>All 138 tasks are complete and were submitted on 14-Sep-2026 for initial review; no current risks were identified.</t>
  </si>
  <si>
    <t>Monitor review, answer evidence requests, remediate findings, obtain final confirmation, and retain the annual evidence baseline.</t>
  </si>
  <si>
    <t>Qingmin Li / Robert Moreno / Linker Department</t>
  </si>
  <si>
    <t>Reviewer findings may require additional evidence before closure.</t>
  </si>
  <si>
    <t>Track initial-review and final-acceptance dates.</t>
  </si>
  <si>
    <t>IT Network Team Meeting Notes, 11-Sep-2026 PST; submission update 14-Sep-2026</t>
  </si>
  <si>
    <t>QTS Data Center Service Reactivation</t>
  </si>
  <si>
    <t>Mike Wang, Robert, Network Team</t>
  </si>
  <si>
    <t>Atlanta 6150 LaGrange Internet</t>
  </si>
  <si>
    <t>6150 LaGrange Network Design</t>
  </si>
  <si>
    <t>Completed</t>
  </si>
  <si>
    <t>Complete the standard network architecture.</t>
  </si>
  <si>
    <t>Phase 2 overall design direction is OK.</t>
  </si>
  <si>
    <t>Complete the initial network plan using the standard template.</t>
  </si>
  <si>
    <t>Hardware / Internet approval.</t>
  </si>
  <si>
    <t>Initial review must be completed first.</t>
  </si>
  <si>
    <t>6150 LaGrange Wi-Fi / Heatmap</t>
  </si>
  <si>
    <t>Complete Wi-Fi coverage and capacity design.</t>
  </si>
  <si>
    <t>Phase 2 planning underway.</t>
  </si>
  <si>
    <t>Complete heatmap and final connectivity / port mapping.</t>
  </si>
  <si>
    <t>Equipment arrival and final design.</t>
  </si>
  <si>
    <t>Manage together with new-site network design.</t>
  </si>
  <si>
    <t>ISP / Circuit Optimization</t>
  </si>
  <si>
    <t>Atlanta / Network Standardization</t>
  </si>
  <si>
    <t>Establish a standard new-site network process.</t>
  </si>
  <si>
    <t>Unified network planning template has been required.</t>
  </si>
  <si>
    <t>Template → review → detailed design → implementation.</t>
  </si>
  <si>
    <t>Skipping design review increases implementation risk.</t>
  </si>
  <si>
    <t>Use as standard process for all new sites.</t>
  </si>
  <si>
    <t>Wireless Survey Tools</t>
  </si>
  <si>
    <t>Provide appropriate wireless survey tools for Network and Installer teams.</t>
  </si>
  <si>
    <t>NetAlly and Ekahau have been tested.</t>
  </si>
  <si>
    <t>Purchase both: NetAlly for Installer Team and Ekahau for Network Team; proceed with purchase request.</t>
  </si>
  <si>
    <t>User training and cost.</t>
  </si>
  <si>
    <t>Proceed with procurement.</t>
  </si>
  <si>
    <t>8/19 status update</t>
  </si>
  <si>
    <t>Long Beach – Backup Connectivity</t>
  </si>
  <si>
    <t>Provide additional backup connectivity if temporary AT&amp;T capacity is insufficient.</t>
  </si>
  <si>
    <t>Skylink/satellite discussed; availability/performance need validation and prior Atlanta experience was mixed.</t>
  </si>
  <si>
    <t>First validate two AT&amp;T gateways; evaluate Skylink only if additional capacity is required.</t>
  </si>
  <si>
    <t>Temporary solutions may not support full-site traffic.</t>
  </si>
  <si>
    <t>Decision only if AT&amp;T capacity is insufficient.</t>
  </si>
  <si>
    <t>Atlas / Camera Access Security</t>
  </si>
  <si>
    <t>Ensure camera access follows least privilege and role-based permissions.</t>
  </si>
  <si>
    <t>Potential over-broad camera visibility for company-credential users; HikCentral/domain synchronization has missing users and permission-sync issues.</t>
  </si>
  <si>
    <t>Validate exposure, correct access controls/domain sync, and provide remediation timing.</t>
  </si>
  <si>
    <t>Unauthorized or excessive camera visibility.</t>
  </si>
  <si>
    <t>Confirm owner, remediation ETA, and temporary access restrictions if needed.</t>
  </si>
  <si>
    <t>Stimson – Power Panel Upgrade</t>
  </si>
  <si>
    <t>Approved / Pending Schedule</t>
  </si>
  <si>
    <t>Upgrade the site power panel.</t>
  </si>
  <si>
    <t>Technical specification confirmed and Adam approved; procurement/execution expected through Cubework/local electrician.</t>
  </si>
  <si>
    <t>Mahan to follow up with Jorge/Cubework and confirm purchase and installation schedule.</t>
  </si>
  <si>
    <t>Planned downtime and facility coordination.</t>
  </si>
  <si>
    <t>Confirm procurement owner, installation date, and outage window.</t>
  </si>
  <si>
    <t>Buena Park – Conference Room</t>
  </si>
  <si>
    <t>Troubleshoot the conference room issue.</t>
  </si>
  <si>
    <t>Troubleshooting has not started because the room is continuously occupied.</t>
  </si>
  <si>
    <t>Coordinate a dedicated maintenance window.</t>
  </si>
  <si>
    <t>Issue remains unresolved.</t>
  </si>
  <si>
    <t>Local office assistance may be needed to reserve the room.</t>
  </si>
  <si>
    <t>LaGrange, Atlanta – Field Network Activities</t>
  </si>
  <si>
    <t>Maintain temporary connectivity and complete remaining LaGrange activities.</t>
  </si>
  <si>
    <t>Temporary hotspot moved to MDF; UniFi devices should be online. Field work paused while resources support Douglasville.</t>
  </si>
  <si>
    <t>Monitor temporary connectivity; resume after Douglasville decommission.</t>
  </si>
  <si>
    <t>Resource shift may delay work.</t>
  </si>
  <si>
    <t>No immediate escalation.</t>
  </si>
  <si>
    <t>MDM Migrate to ManageEngine Endpoint Central</t>
  </si>
  <si>
    <t>Advance Apple Business / MDM case.</t>
  </si>
  <si>
    <t>No significant update received; lower priority than Willow/Douglasville.</t>
  </si>
  <si>
    <t>David to follow up with Apple Business after higher-priority field activities.</t>
  </si>
  <si>
    <t>Competing field priorities may delay progress.</t>
  </si>
  <si>
    <t>Escalate existing case if required.</t>
  </si>
  <si>
    <t>Walnut Migration</t>
  </si>
  <si>
    <t>Complete remaining Walnut server/DMZ migration work.</t>
  </si>
  <si>
    <t>No broader outstanding firewall initiative; remaining work is primarily Walnut server/DMZ migration.</t>
  </si>
  <si>
    <t>Complete migration and validate final configuration.</t>
  </si>
  <si>
    <t>Low if migration completes as planned.</t>
  </si>
  <si>
    <t>Confirm closure criteria.</t>
  </si>
  <si>
    <t>Walnut DC Network Optimization</t>
  </si>
  <si>
    <t>Establish a standardized, manageable, and reliable DC network
Optimize VLANs and IP addressing for performance and security
Replace non-standard/legacy switches with uniform models to simplify operations
Improve camera network performance for stable, low-latency video transmission
Deliver standardized cable management, network documentation, and operational guidelines
Prepare the network for production deployment and potential multi-region implementation</t>
  </si>
  <si>
    <t>Conduct a comprehensive network optimization for Walnut Data Center, including:
Cable management and rack organization
Replacement of non-standard/outdated switches
VLAN and IP address planning and optimization
CCTV / camera network optimization
Improve network performance, manageability, and scalability
Enhance network troubleshooting efficiency and security</t>
  </si>
  <si>
    <t>Evaluate existing network, devices, and rack conditions; define optimization plan
Organize and standardize data center cabling
Replace non-standard switches and configure new devices
Replan VLANs and IP addressing for efficiency and manageability
Optimize camera VLANs, PoE, and bandwidth allocation
Update network topology, IP plan, and SOPs; validate optimization results
Plan production-grade deployment and multi-region expansion</t>
  </si>
  <si>
    <t>Davao SFTP Server Request</t>
  </si>
  <si>
    <t>Securely deliver the requested SFTP capability in Davao.</t>
  </si>
  <si>
    <t>The technical team is awaiting the complete request reportedly sent by Chi wei to Mike.</t>
  </si>
  <si>
    <t>Confirm owner, hosting, IP allowlisting, authentication, data scope, logging, retention, test window, and success criteria.</t>
  </si>
  <si>
    <t>Robert Moreno / Mike Wang / Chi wei / Jerimar / Peng Gao / Mel Gutierrez</t>
  </si>
  <si>
    <t>Incomplete architecture and approvals could cause delay or insecure public exposure.</t>
  </si>
  <si>
    <t>Require written requirements and security approval before configuration.</t>
  </si>
  <si>
    <t>AP10 and Offline Device Remediation - 2131 Willow</t>
  </si>
  <si>
    <t>2026-09-08</t>
  </si>
  <si>
    <t>Restore stable wireless performance and reconnect two offline devices.</t>
  </si>
  <si>
    <t>AP10 showed approximately 23% TX retries; the abnormal condition cleared after reboot, but two devices have been offline since 8-Sep.</t>
  </si>
  <si>
    <t>Jerimar to contact Efrain and coordinate with Mahan and Peng Gao to validate TX statistics and device status.</t>
  </si>
  <si>
    <t>Jerimar Castaneda / Mahan Sasani / Peng Gao / Efrain</t>
  </si>
  <si>
    <t>Offline devices and recurring TX retries may disrupt operations.</t>
  </si>
  <si>
    <t>Confirm root cause, device recovery, and post-fix monitoring evidence.</t>
  </si>
  <si>
    <t>2026-09-23</t>
  </si>
  <si>
    <t>Chicago 1333 Kingsbury Decommission</t>
  </si>
  <si>
    <t>Urgent / In Progress</t>
  </si>
  <si>
    <t>Recover equipment and terminate services after the sales-office closure.</t>
  </si>
  <si>
    <t>Site access may be limited or expired and onsite assets and ISP obligations remain unconfirmed.</t>
  </si>
  <si>
    <t>Confirm access days, inventory and move assets to Buena Park, identify the ISP, disconnect service, and return equipment.</t>
  </si>
  <si>
    <t>David Rodriguez / Raul / Erik Solis / Robert / Network Team</t>
  </si>
  <si>
    <t>Asset loss and unmanaged carrier charges are possible if access is not restored quickly.</t>
  </si>
  <si>
    <t>Immediate facility-access escalation is required.</t>
  </si>
  <si>
    <t>Tolleson AZ Facility Decommission</t>
  </si>
  <si>
    <t>Scheduled</t>
  </si>
  <si>
    <t>2026-09-21</t>
  </si>
  <si>
    <t>Complete IT and network decommissioning before the 30-Sep building return.</t>
  </si>
  <si>
    <t>David's team scheduled work for 21-25 Sep at 120 N 83rd Avenue.</t>
  </si>
  <si>
    <t>Confirm access, asset and circuit inventory, logistics, equipment disposition, and closure evidence.</t>
  </si>
  <si>
    <t>David Rodriguez / Network Team</t>
  </si>
  <si>
    <t>Any delay could conflict with the building return date.</t>
  </si>
  <si>
    <t>Maintain the scheduled window and confirm completion by 25-Sep.</t>
  </si>
  <si>
    <t>MoFi Router and Mobile Hotspot Review</t>
  </si>
  <si>
    <t>Reconcile carrier hardware and services and remove unnecessary recurring cost.</t>
  </si>
  <si>
    <t>Robert Moreno / David Rodriguez / Jerimar Castaneda / Mahan Sasani</t>
  </si>
  <si>
    <t>Unknown device ownership and usage may conceal waste, loss, or operational dependency.</t>
  </si>
  <si>
    <t>Keep the workstream open through final billing confirmation.</t>
  </si>
  <si>
    <t>Buena Park Closure &amp; Infrastructure Transition</t>
  </si>
  <si>
    <t>BP AI Camera IoT Phase 1</t>
  </si>
  <si>
    <t>Monitoring Engine V2, iOS and Backend API are allcompleted.
End users are using the IoT platform.</t>
  </si>
  <si>
    <t>iOS → Security UAT → Go/No-Go.</t>
  </si>
  <si>
    <t>Yabin Liu</t>
  </si>
  <si>
    <t>UAT and critical defects.</t>
  </si>
  <si>
    <t>P1 – 8/20 launch.</t>
  </si>
  <si>
    <t>Walnut AI Camera IoT Phase 2</t>
  </si>
  <si>
    <t>Camera scope and AI use cases are all configured, ready to .User Usage</t>
  </si>
  <si>
    <t>Camera selection → algorithm mapping → GPU sizing.</t>
  </si>
  <si>
    <t>P2.User Usage and Feedback</t>
  </si>
  <si>
    <t>Walnut Local GPU Infrastructure</t>
  </si>
  <si>
    <t>Completed
note:Nearly one month of continuous monitoring shows GPU, memory and bandwidth metrics are fairly stable. The server also has 7×24 performance monitoring and alerting, so it is capable of running our existing system application architecture.</t>
  </si>
  <si>
    <t>Finalize GPU specifications and procurement after camera matrix completion.</t>
  </si>
  <si>
    <t>GPU capacity, power, procurement ownership.</t>
  </si>
  <si>
    <t>Local GPU recommended.</t>
  </si>
  <si>
    <t>User Manual Development (Monitoring Engine &amp; IoT Platform)</t>
  </si>
  <si>
    <t>Finished all ths steps of the Monitoring Engine and the IoT Platform operation manual.</t>
  </si>
  <si>
    <t>Completed the full operation manual for the Monitoring Engine.</t>
  </si>
  <si>
    <t>Jiaming</t>
  </si>
  <si>
    <t>Target delivery: Sep 11</t>
  </si>
  <si>
    <t>The source file is attached to the email.</t>
  </si>
  <si>
    <t>IoT Platform Development Phase 2 – Yard Management Project</t>
  </si>
  <si>
    <t>Device-to-system integration progress
On-site manpower coordination</t>
  </si>
  <si>
    <t>Yard Security and Monitoring System – Moreno Valley</t>
  </si>
  <si>
    <t>Complete the container and security management system deployment for Moreno Valley.</t>
  </si>
  <si>
    <t>Marco Ma / Olly</t>
  </si>
  <si>
    <t>YMS Yard Check-In/Out Hardware and Software – Alessandro</t>
  </si>
  <si>
    <t>ETD: 4 weeks</t>
  </si>
  <si>
    <t>Complete the hardware and software solution for the YMS yard check-in/check-out process.</t>
  </si>
  <si>
    <t>Robot Dog B2W Deployment – Alessandro</t>
  </si>
  <si>
    <t>Complete the Robot Dog B2W deployment for Alessandro.</t>
  </si>
  <si>
    <t>Marco Ma / Ken</t>
  </si>
  <si>
    <t>Loading Dock Safety Check (Pending)</t>
  </si>
  <si>
    <t>ETD: 3–4 weeks</t>
  </si>
  <si>
    <t>Develop an AI camera solution to improve safety monitoring at the loading dock.</t>
  </si>
  <si>
    <t>Additional samples, testing, and fine-tuning may be required.</t>
  </si>
  <si>
    <t>AGV Cycle Count in Bulk Area</t>
  </si>
  <si>
    <t>ETD: 2 weeks</t>
  </si>
  <si>
    <t>Complete the AGV cycle-count workflow for the bulk area and prepare it for deployment.</t>
  </si>
  <si>
    <t>IoT AI Camera Platform</t>
  </si>
  <si>
    <t>Ongoing / No ETA</t>
  </si>
  <si>
    <t>Build and continuously improve a reusable IoT AI camera platform.</t>
  </si>
  <si>
    <t>Platform development is 50% complete and remains ongoing.</t>
  </si>
  <si>
    <t>Define the next development milestone and continue platform implementation and validation.</t>
  </si>
  <si>
    <t>Project scope and priorities may continue to evolve.</t>
  </si>
  <si>
    <t>Continue reviewing milestones and overall project direction.</t>
  </si>
  <si>
    <t>Ongoing project with no current ETA.</t>
  </si>
  <si>
    <t>ViT Library Maintenance for Packing Station</t>
  </si>
  <si>
    <t>Maintain and optimize the ViT library used by the packing station.</t>
  </si>
  <si>
    <t>Library maintenance is 80% complete, with ongoing accuracy and performance improvements.</t>
  </si>
  <si>
    <t>Continue accuracy improvement, performance optimization, and regression testing.</t>
  </si>
  <si>
    <t>Additional optimization and validation may be needed.</t>
  </si>
  <si>
    <t>Continue monitoring accuracy and performance improvements.</t>
  </si>
  <si>
    <t>ViT library maintenance for the packing station.</t>
  </si>
  <si>
    <t>AirRob</t>
  </si>
  <si>
    <t>AGV-BP</t>
  </si>
  <si>
    <t>Due to low volume of orders and not being used by the Ops team, the system is shifted from Production env to Preview Env. Now, this system will only be used for demo by the team.</t>
  </si>
  <si>
    <t>Fix the AGVs so that it can be used properly for demo</t>
  </si>
  <si>
    <t>Mapping and Validation done.</t>
  </si>
  <si>
    <t>Push WISE team for logic improvement</t>
  </si>
  <si>
    <t>Brant Yi / Neil / Abhijeet / Anuj / Network Team</t>
  </si>
  <si>
    <t>Low order volume and limited Operations use may hide remaining issues until physical testing is completed.</t>
  </si>
  <si>
    <t>Low priority</t>
  </si>
  <si>
    <t>Project Update 8.xlsx – AGV-BP</t>
  </si>
  <si>
    <t>AGV-Memphis</t>
  </si>
  <si>
    <t>Heacock – XYZ Palletizing Robot</t>
  </si>
  <si>
    <t>BP Conveyor Maintenance</t>
  </si>
  <si>
    <t>Source note not provided.</t>
  </si>
  <si>
    <t>VMS</t>
  </si>
  <si>
    <t>Deliver a seamless Visitor Management System.</t>
  </si>
  <si>
    <t>The latest changes are deployed to the live site. Feature testing is ongoing to confirm expected behavior across the system.</t>
  </si>
  <si>
    <t>Complete the remaining testing; release the system for general use; collect user-reported issues and feature requests and implement them as needed.</t>
  </si>
  <si>
    <t>Anuj</t>
  </si>
  <si>
    <t>AI Agent capability requested by Stacy, feasibility and implementation approach still to be evaluated.</t>
  </si>
  <si>
    <t>Confirm the exact wording of customer-facing email and text notifications sent from the official UNIS account before general rollout.</t>
  </si>
  <si>
    <t>Shelf-to-Person AGV Project</t>
  </si>
  <si>
    <t>PCI DSS / SAQ-D</t>
  </si>
  <si>
    <t>Complete PCI DSS compliance.</t>
  </si>
  <si>
    <t>atsec confirmed SAQ-D Merchant applicability.</t>
  </si>
  <si>
    <t>Complete SAQ-D questionnaire, AOC, and technical scope confirmation.</t>
  </si>
  <si>
    <t>Mike Wang, Robert,  Johanson Group, Vanta Team</t>
  </si>
  <si>
    <t>Large card-data scope.</t>
  </si>
  <si>
    <t>P1 Compliance.</t>
  </si>
  <si>
    <t>SOC 2 Control &amp; Evidence Readiness</t>
  </si>
  <si>
    <t>SOC 2 BCP / DR / Ticketing Continuity</t>
  </si>
  <si>
    <t>High Priority</t>
  </si>
  <si>
    <t>Ensure continuity of critical business systems.</t>
  </si>
  <si>
    <t>Ticketing BCP/DR is a key production and audit dependency.</t>
  </si>
  <si>
    <t>Complete BCP/DR plan, testing, and evidence.</t>
  </si>
  <si>
    <t>Ticketing outage may impact Customer Service.</t>
  </si>
  <si>
    <t>Crosses SOC 2 and UNIS.CO.</t>
  </si>
  <si>
    <t>GDPR Compliance Program</t>
  </si>
  <si>
    <t>GDPR Data Inventory &amp; RoPA</t>
  </si>
  <si>
    <t>Not Fully Closed</t>
  </si>
  <si>
    <t>Identify personal data, purpose, location, and third parties.</t>
  </si>
  <si>
    <t>Needs SaaS, logistics, customer, and employee systems review.</t>
  </si>
  <si>
    <t>Build data inventory and Records of Processing Activities.</t>
  </si>
  <si>
    <t>Data is distributed across systems and regions.</t>
  </si>
  <si>
    <t>GDPR foundation.</t>
  </si>
  <si>
    <t>GDPR Data Transfer / Vendor Management</t>
  </si>
  <si>
    <t>Review Required</t>
  </si>
  <si>
    <t>Manage cross-border data transfers and third-party processors.</t>
  </si>
  <si>
    <t>US/China/other-region data flows and vendor relationships need confirmation.</t>
  </si>
  <si>
    <t>Review DPA, SCC, sub-processors, and transfer mechanisms.</t>
  </si>
  <si>
    <t>Cross-border transfer compliance risk.</t>
  </si>
  <si>
    <t>Integrate with vendor management.</t>
  </si>
  <si>
    <t>GDPR DSAR / Data Subject Rights</t>
  </si>
  <si>
    <t>Process Definition</t>
  </si>
  <si>
    <t>Support access, correction, deletion, restriction, and other data-subject requests.</t>
  </si>
  <si>
    <t>Business and IT execution process needs definition.</t>
  </si>
  <si>
    <t>Establish request intake → verification → system search → response.</t>
  </si>
  <si>
    <t>No unified process may cause response delays.</t>
  </si>
  <si>
    <t>Consider integrating with ticketing.</t>
  </si>
  <si>
    <t>GDPR Retention / Deletion</t>
  </si>
  <si>
    <t>Policy / Implementation</t>
  </si>
  <si>
    <t>Establish personal-data lifecycle management.</t>
  </si>
  <si>
    <t>Retention periods by system need to be determined.</t>
  </si>
  <si>
    <t>Retention matrix → automated/manual deletion → evidence.</t>
  </si>
  <si>
    <t>Legacy data, backups, and third-party data.</t>
  </si>
  <si>
    <t>Design together with Backup/DR.</t>
  </si>
  <si>
    <t>UNIS and ITEM E-Waste Certification Evidence</t>
  </si>
  <si>
    <t>Pending Vendor</t>
  </si>
  <si>
    <t>2026-09-10</t>
  </si>
  <si>
    <t>TBD (3-4 weeks)</t>
  </si>
  <si>
    <t>Retain formal recycling evidence for audit and asset-disposal controls.</t>
  </si>
  <si>
    <t>Track issuance, validate entity coverage, store certificates in the evidence repository, and link them to the applicable controls.</t>
  </si>
  <si>
    <t>David Rodriguez / Recycling Vendor / Robert Moreno</t>
  </si>
  <si>
    <t>Delayed or incomplete certificates could leave asset-disposal evidence unsupported.</t>
  </si>
  <si>
    <t>Escalate if certificates are not received within the stated window.</t>
  </si>
  <si>
    <t>Planned and Emergency Change Evidence (UNIS SOC 2 Type I)</t>
  </si>
  <si>
    <t>Pending Response</t>
  </si>
  <si>
    <t>Provide auditor-ready evidence that planned and emergency changes are authorized, tested, and recorded.</t>
  </si>
  <si>
    <t>Vincent / Robert Moreno / Mike Wang / Johanson Group</t>
  </si>
  <si>
    <t>Escalate for a firm delivery date and confirm whether fieldwork can proceed in parallel.</t>
  </si>
  <si>
    <t>Vanta Legal-Entity and Subscription Transition</t>
  </si>
  <si>
    <t>UNIS.CO Internal-Only Email Restriction</t>
  </si>
  <si>
    <t>Restrict individual UNIS.CO mailboxes to internal communication while preserving approved exceptions.</t>
  </si>
  <si>
    <t>Yangyang Yang, Robert,  Mike Wang</t>
  </si>
  <si>
    <t>External Domain Allowlist Controls</t>
  </si>
  <si>
    <t>Permit legitimate external business traffic while maintaining the UNIS.CO restriction policy.</t>
  </si>
  <si>
    <t>Email Team / Operations / Yangyang Yang</t>
  </si>
  <si>
    <t>Restricted Mailbox Bounce-Back Message</t>
  </si>
  <si>
    <t>Give external senders clear instructions when an individual mailbox rejects their message.</t>
  </si>
  <si>
    <t>Mary approved the revised customer-facing wording and the Email Team configured the bounce notification.</t>
  </si>
  <si>
    <t>Retain the approved wording and periodically test delivery and clarity.</t>
  </si>
  <si>
    <t>Gemar Ermac / Mary Smothers / Email Team</t>
  </si>
  <si>
    <t>Incorrect routing guidance could delay customer inquiries.</t>
  </si>
  <si>
    <t>No management action required unless testing identifies a failure.</t>
  </si>
  <si>
    <t>Email thread: bounce-back wording approved and configured in Aug-2026</t>
  </si>
  <si>
    <t>Shared Mailbox and UnisTicket Workflow</t>
  </si>
  <si>
    <t>Active PH Employee and Mailbox Inventory</t>
  </si>
  <si>
    <t>2026-09-01</t>
  </si>
  <si>
    <t>OTP/MFA and System Notifications</t>
  </si>
  <si>
    <t>Preserve OTP, MFA, retailer, and automated system-notification delivery after mail restrictions are applied.</t>
  </si>
  <si>
    <t>The OTP list was provided to Mel and received by the project team; delivery validation and final allowlist confirmation remain open.</t>
  </si>
  <si>
    <t>Confirm sender domains, test OTP and notification delivery, document failures, and update exceptions where justified.</t>
  </si>
  <si>
    <t>Mel Gutierrez / Gemar Ermac / Yangyang Yang / Robert Moreno</t>
  </si>
  <si>
    <t>Blocked OTP or system messages could interrupt retailer access and warehouse operations.</t>
  </si>
  <si>
    <t>Escalate failed delivery for a business-critical system or retailer account.</t>
  </si>
  <si>
    <t>Email thread: OTP list and validation updates through 8-Sep-2026</t>
  </si>
  <si>
    <t>Individual Retailer OTP Accounts</t>
  </si>
  <si>
    <t>Retain only the individual accounts required by retailers that do not accept shared or distribution addresses.</t>
  </si>
  <si>
    <t>Walmart-related and other retailer accounts may require unique addresses; required accounts are being identified and protected.</t>
  </si>
  <si>
    <t>Finalize account ownership, allowlist required senders, maintain approved forwarding, and migrate former-employee registrations where possible.</t>
  </si>
  <si>
    <t>Gemar Ermac / Mel Gutierrez / Routing Team / Adam Li</t>
  </si>
  <si>
    <t>Deactivation or unclear ownership could stop OTP delivery and create audit issues.</t>
  </si>
  <si>
    <t>Approve exceptions only with a named business owner and documented operational need.</t>
  </si>
  <si>
    <t>Email thread: retailer OTP and legacy-account actions through 8-Sep-2026</t>
  </si>
  <si>
    <t>Blocked-Mail Monitoring and Alerts</t>
  </si>
  <si>
    <t>In Progress / Validation</t>
  </si>
  <si>
    <t>Detect messages blocked specifically by the UNIS.CO mail-flow restriction and support timely remediation.</t>
  </si>
  <si>
    <t>Outbound monitoring and alerting are configured; confirmation that policy-specific blocks are captured remains pending.</t>
  </si>
  <si>
    <t>Run controlled tests, verify alerts contain actionable details, define triage ownership, and document the escalation path.</t>
  </si>
  <si>
    <t>Yangyang Yang / Network Support / Email Team</t>
  </si>
  <si>
    <t>Undetected blocked mail may delay customer or operational communication.</t>
  </si>
  <si>
    <t>Review alert evidence before declaring monitoring complete.</t>
  </si>
  <si>
    <t>Email thread: outbound monitoring and blocked-message validation updates</t>
  </si>
  <si>
    <t>Shared Mailbox Archiving, Licensing and Defender</t>
  </si>
  <si>
    <t>Completed / Monitor</t>
  </si>
  <si>
    <t>Protect shared mailboxes and maintain capacity, retention, and licensing required for reliable operations.</t>
  </si>
  <si>
    <t>Auto-archiving was enabled where required; Exchange Online Plan 2 and Defender coverage were confirmed for the shared-mailbox environment.</t>
  </si>
  <si>
    <t>Monitor mailbox capacity and archive growth; review licensing and protection coverage after mailbox inventory changes.</t>
  </si>
  <si>
    <t>Email Team / Mike Wang</t>
  </si>
  <si>
    <t>Capacity growth or an unlicensed mailbox could affect retention, availability, or protection.</t>
  </si>
  <si>
    <t>No immediate escalation; review exceptions during the next mailbox health check.</t>
  </si>
  <si>
    <t>Email thread: shared mailbox capacity, archiving, licensing, and Defender updates</t>
  </si>
  <si>
    <t>Business Readiness and Go/No-Go Review</t>
  </si>
  <si>
    <t>Ticketing BCP and Operational Contingency</t>
  </si>
  <si>
    <t>AWS Regional Resiliency and DR Decision</t>
  </si>
  <si>
    <t>Decision Pending</t>
  </si>
  <si>
    <t>Determine whether residual regional-outage risk is acceptable or requires cross-region disaster recovery.</t>
  </si>
  <si>
    <t>Current production design spans three availability zones but has no secondary AWS region; leadership risk acceptance is still required.</t>
  </si>
  <si>
    <t>Document current resiliency, quantify residual risk, obtain leadership decision, and prepare a multi-region design and cost only if required.</t>
  </si>
  <si>
    <t>Mike Wang / Lex Yang / Technical Team / Leadership</t>
  </si>
  <si>
    <t>A regional AWS outage could make the ticketing platform unavailable despite multi-AZ protection.</t>
  </si>
  <si>
    <t>Leadership to accept the residual risk with contingency or authorize cross-region DR planning.</t>
  </si>
  <si>
    <t>Email thread: AWS resiliency, residual risk, and leadership decision updates</t>
  </si>
  <si>
    <t>UNIS/ITEM-eHub Carrier Integration</t>
  </si>
  <si>
    <t>TBD - after technical validation</t>
  </si>
  <si>
    <t>Alessandro Wi-Fi Remediation</t>
  </si>
  <si>
    <t>Carrier hardware and service reconciliation is in progress. The ISP master list now covers active sites; MoFi and remaining records are not yet complete.</t>
  </si>
  <si>
    <t>Complete MoFi and other outstanding inventory; confirm custodian, business need, returns or cancellations, and final billing.</t>
  </si>
  <si>
    <t>IT daily standup notes provided Sep 27, 2026; IT Network Team Meeting Notes, Sep 11, 2026.</t>
  </si>
  <si>
    <t>Davao Access to U.S. Sites</t>
  </si>
  <si>
    <t>Restore Davao users’ access to affected U.S. sites.</t>
  </si>
  <si>
    <t>Jerimar reported access failures; the exact corrective action and outcome were unclear in the standup.</t>
  </si>
  <si>
    <t>Confirm affected sites, resolution, user validation, and any remaining access issues.</t>
  </si>
  <si>
    <t>Jerimar Castaneda / Davao users / Network Team</t>
  </si>
  <si>
    <t>Access interruptions may persist without user confirmation.</t>
  </si>
  <si>
    <t>Confirm service restoration and close related tickets after validation.</t>
  </si>
  <si>
    <t>IT daily standup notes provided Sep 27, 2026; meeting date not specified.</t>
  </si>
  <si>
    <t>HikCentral  HTTPS Service</t>
  </si>
  <si>
    <t>Jerimar restored HTTPS by restarting the affected services; sustained stability was not confirmed.</t>
  </si>
  <si>
    <t>Check website availability and logs; record cause and close the ticket if stable.</t>
  </si>
  <si>
    <t>Jerimar Castaneda / Application owner</t>
  </si>
  <si>
    <t>Issue may recur if the underlying cause remains.</t>
  </si>
  <si>
    <t>Escalate only if service or logs show a recurrence.</t>
  </si>
  <si>
    <t>SBW650 Web Remote Desktop</t>
  </si>
  <si>
    <t>Restore web remote desktop access to computer SBW650.</t>
  </si>
  <si>
    <t>Armin cannot connect. Two agent reinstall attempts did not resolve the issue; Billy offered to troubleshoot.</t>
  </si>
  <si>
    <t>Billy and Armin to check the connection, agent health, and access path; verify a successful session.</t>
  </si>
  <si>
    <t>Armin / Billy Rivas</t>
  </si>
  <si>
    <t>Remote access remains unavailable until the cause is identified.</t>
  </si>
  <si>
    <t>Track the troubleshooting result and escalate if specialist support is needed.</t>
  </si>
  <si>
    <t>Laptop Image to Virtual Machine</t>
  </si>
  <si>
    <t>Move the requested laptop image into a usable virtual machine.</t>
  </si>
  <si>
    <t>Mahan reported work in progress with no blocker; requestor, supporting team, and technical requirements were unclear.</t>
  </si>
  <si>
    <t>Confirm request owner, image source, VM host and acceptance test; complete and validate the migration.</t>
  </si>
  <si>
    <t>Mahan Sasani / request owner (TBD)</t>
  </si>
  <si>
    <t>Unclear scope and ownership could delay validation or handoff.</t>
  </si>
  <si>
    <t>Assign the request owner and agree on acceptance criteria.</t>
  </si>
  <si>
    <t>CW108 ISO Preparation</t>
  </si>
  <si>
    <t>ISO created / validation pending</t>
  </si>
  <si>
    <t>Prepare the CW108 ISO for its intended deployment or recovery use.</t>
  </si>
  <si>
    <t>Peng Gao created the ISO and reported no issues; its intended use and validation were not discussed.</t>
  </si>
  <si>
    <t>Confirm the recipient and intended use; validate the ISO before closing.</t>
  </si>
  <si>
    <t>Peng Gao / request owner (TBD)</t>
  </si>
  <si>
    <t>Usability and handoff remain unconfirmed.</t>
  </si>
  <si>
    <t>No escalation; confirm acceptance with the request owner.</t>
  </si>
  <si>
    <t>QTS Backup Data Center Strategy</t>
  </si>
  <si>
    <t>Erik Solis carrier update, 4-Oct-2026 PST.</t>
  </si>
  <si>
    <t>Network, Relocation, and Help Desk meeting notes, 2-Oct-2026 PST.</t>
  </si>
  <si>
    <t>Alessandro Network &amp; Power Recovery</t>
  </si>
  <si>
    <t>Keep the HikCentral website available over HTTPS.</t>
  </si>
  <si>
    <t>UniFi Optimization Application</t>
  </si>
  <si>
    <t>In development / schedule pending</t>
  </si>
  <si>
    <t>Develop a repeatable tool that recommends appropriate UniFi channel and transmit-power settings.</t>
  </si>
  <si>
    <t>Jerimar is developing the optimization application. The intended outputs are channel and transmit-power recommendations; no delivery or deployment date was provided.</t>
  </si>
  <si>
    <t>Define supported controllers and inputs, validation method, pilot site, change-approval workflow, success criteria, owner, and target date before production use.</t>
  </si>
  <si>
    <t>Jerimar Castaneda / Network Engineering / Mike Wang</t>
  </si>
  <si>
    <t>Recommendations could create interference or instability if source data, guardrails, testing, and rollback are not defined.</t>
  </si>
  <si>
    <t>Confirm scope, target date, pilot site, and validation requirements before operational adoption.</t>
  </si>
  <si>
    <t>Walnut Electrical &amp; Facilities Readiness</t>
  </si>
  <si>
    <t>Mezzanine Wi-Fi Coverage</t>
  </si>
  <si>
    <t>Site confirmation / installation pending</t>
  </si>
  <si>
    <t>Provide reliable Wi-Fi coverage in the reported mezzanine or second-floor area.</t>
  </si>
  <si>
    <t>Two related tickets were combined. Mahan documented the area with photos, briefed installers, and spoke with affected users. The exact site and additional AP installation date remain unconfirmed.</t>
  </si>
  <si>
    <t>David to confirm the site, assigned installer, AP design, installation date, and completion evidence. Validate coverage and user connectivity after installation.</t>
  </si>
  <si>
    <t>David Rodriguez / Mahan Sasani / Installation Team / Affected users / Robert Moreno</t>
  </si>
  <si>
    <t>Incorrect site assignment or an undefined installation date may prolong poor coverage and user disruption.</t>
  </si>
  <si>
    <t>Confirm the location and firm installation ETA before tracking this item to completion.</t>
  </si>
  <si>
    <t>Network, Relocation, and Help Desk meeting notes, 2-Oct-2026 PST; location requires confirmation.</t>
  </si>
  <si>
    <t>Alessandro AP Naming &amp; Mapping Backlog</t>
  </si>
  <si>
    <t>Microsoft 365 License Governance</t>
  </si>
  <si>
    <t>Audit and policy review pending</t>
  </si>
  <si>
    <t>Prevent avoidable Outlook and Word disruption through controlled licensing, auditability, and advance user communication.</t>
  </si>
  <si>
    <t>Armin reported three users with application access or sign-in issues. Some had Business Basic and at least one had no license. Available licenses were reassigned in handled cases, but who changed the licenses, when, and why remains unverified.</t>
  </si>
  <si>
    <t>Review Microsoft 365 audit logs; confirm all affected users; validate license eligibility and application requirements; identify the change source; and require advance notice to Help Desk and affected users for planned changes.</t>
  </si>
  <si>
    <t>Armin Guevarra / Help Desk / Microsoft 365 Administration / IT Management</t>
  </si>
  <si>
    <t>Uncontrolled license changes can interrupt business applications, create inconsistent entitlements, and consume spare licenses outside policy.</t>
  </si>
  <si>
    <t>Confirm the license policy, approval authority, notification process, and audit owner before further bulk changes.</t>
  </si>
  <si>
    <t>Dynamics GP Support Ownership</t>
  </si>
  <si>
    <t>Restore Dynamics GP access and establish a clear application owner and escalation path.</t>
  </si>
  <si>
    <t>Two sign-in tickets remain unresolved because Help Desk does not know the current owner. One case involves a Philippines user and one a U.S. user. Alvin Lee confirmed that he does not support the application.</t>
  </si>
  <si>
    <t>Billy to share screenshots, ticket numbers, and verified user details. Help Desk and Finance to identify the application owner, route both tickets, document escalation contacts, and confirm successful sign-in.</t>
  </si>
  <si>
    <t>Billy Rivas / Help Desk / Finance / IT Management / Application Owner (TBD)</t>
  </si>
  <si>
    <t>Users remain blocked while ownership is unclear. Repeated misrouting may extend outages and weaken support accountability.</t>
  </si>
  <si>
    <t>Assign the Dynamics GP business and technical owners and publish the support path.</t>
  </si>
  <si>
    <t>China Level 2 and 3CX/Twilio Support Coverage</t>
  </si>
  <si>
    <t>Provide a dependable escalation path for unresolved application and telephony incidents across time zones.</t>
  </si>
  <si>
    <t>Help Desk needs confirmation of the China Level 2 schedule and application coverage. Separate tickets report nonworking phone numbers; the fault domain across 3CX, Twilio, or another service is not yet confirmed. Primary contacts have limited availability.</t>
  </si>
  <si>
    <t>Billy to review Stacy's support schedule and confirm contacts and scope. Post the phone-number issue in the existing 3CX/Twilio WeChat group, secure backup support, identify the failing service, and document resolution and escalation steps.</t>
  </si>
  <si>
    <t>Billy Rivas / Stacy Nguyen / Lex Yang / Yangyang Yang / Mel Gutierrez / China Level 2 Support / Help Desk</t>
  </si>
  <si>
    <t>Unclear coverage and limited backup support can delay restoration, leave tickets unowned, and prolong telephony disruption.</t>
  </si>
  <si>
    <t>Confirm primary and backup contacts, coverage hours, supported applications, and the escalation standard.</t>
  </si>
  <si>
    <t>Charleston Circuit Transition - 1701 / 1301</t>
  </si>
  <si>
    <t>6200 St. Johns MPOE Relocation</t>
  </si>
  <si>
    <t>1228 Cornerway San Antonio Circuit Cutover</t>
  </si>
  <si>
    <t>Torrance Circuit Relocation &amp; Equipment Return</t>
  </si>
  <si>
    <t>Equipment removed / transfer and return pending</t>
  </si>
  <si>
    <t>Relocate the Torrance dedicated circuit to Charleston, avoid termination fees, and complete equipment return obligations.</t>
  </si>
  <si>
    <t>Dedicated-fiber equipment was removed from 20100 Western Avenue. The replacement circuit is planned for 1701 Charleston, with the ETF expected to be waived. David still needs to return the AT&amp;T 1 Gbps shared-fiber modem through an accepted return channel.</t>
  </si>
  <si>
    <t>Confirm the dedicated-circuit transfer order, ETF waiver, and Charleston linkage; return the shared modem and retain the receipt; disconnect Torrance service; and validate final billing and asset closure.</t>
  </si>
  <si>
    <t>David Rodriguez / Erik Solis / Robert Moreno / AT&amp;T / Accounting</t>
  </si>
  <si>
    <t>An incomplete transfer or missing return receipt may trigger termination or equipment charges and delay site closure.</t>
  </si>
  <si>
    <t>Require written ETF waiver, accepted equipment-return proof, and final invoice reconciliation.</t>
  </si>
  <si>
    <t>Suffolk Verizon Circuit Relocation</t>
  </si>
  <si>
    <t>Site vacated / replacement location pending</t>
  </si>
  <si>
    <t>Relocate the in-term Verizon circuit from 245 Benton Road and avoid an early termination penalty.</t>
  </si>
  <si>
    <t>The Suffolk site is vacated. The Verizon circuit remains under contract until June 2027, and a suitable replacement location has not been selected.</t>
  </si>
  <si>
    <t>Identify candidate sites and technical requirements; confirm transfer eligibility, cost, lead time, and contract treatment with Verizon; obtain approval; and execute the relocation or approved alternative.</t>
  </si>
  <si>
    <t>Erik Solis / Robert Moreno / David Rodriguez / Network Engineering / Verizon</t>
  </si>
  <si>
    <t>No destination is confirmed. Continued billing or an early termination penalty may be incurred while the circuit remains unused.</t>
  </si>
  <si>
    <t>Select a replacement site or approve the lowest-cost contractual alternative before avoidable charges accumulate.</t>
  </si>
  <si>
    <t>Norcross AT&amp;T Disconnect &amp; Billing Dispute</t>
  </si>
  <si>
    <t>Douglasville AT&amp;T Modem Return</t>
  </si>
  <si>
    <t>Goodyear Cox Disconnect</t>
  </si>
  <si>
    <t>Greenwood Circuit Decommission Planning</t>
  </si>
  <si>
    <t>Disconnect approval pending</t>
  </si>
  <si>
    <t>Plan the AT&amp;T shared-fiber disconnect for 650 Commerce Parkway in line with the facility decommission schedule.</t>
  </si>
  <si>
    <t>David expects the Greenwood site to decommission within the next few months. The AT&amp;T shared-fiber service is month-to-month with no applicable early termination fee.</t>
  </si>
  <si>
    <t>Confirm the facility move-out date and business dependency; obtain disconnect approval; schedule service termination and equipment return; and verify final billing.</t>
  </si>
  <si>
    <t>David Rodriguez / Robert Moreno / Erik Solis / Greenwood Operations / AT&amp;T</t>
  </si>
  <si>
    <t>An undefined facility date may cause premature disconnection or unnecessary recurring cost.</t>
  </si>
  <si>
    <t>Confirm the decommission date and approve a disconnect date aligned with operational closure.</t>
  </si>
  <si>
    <t>Analog POTS Line Review</t>
  </si>
  <si>
    <t>Inventory review pending</t>
  </si>
  <si>
    <t>Identify legacy analog lines, carrier decommission exposure, and opportunities to eliminate or replace unnecessary POTS services.</t>
  </si>
  <si>
    <t>A full location review is pending. No AT&amp;T POTS lines have been identified in the areas reviewed so far.</t>
  </si>
  <si>
    <t>Complete the carrier and site inventory; identify line purpose, owner, monthly cost, and decommission date; validate life-safety or operational dependencies; and propose approved replacement or cancellation actions.</t>
  </si>
  <si>
    <t>Erik Solis / Robert Moreno / Network Engineering / Facilities / Site Operations / Carriers</t>
  </si>
  <si>
    <t>Incomplete inventory may miss life-safety dependencies, carrier retirement deadlines, or avoidable recurring charges.</t>
  </si>
  <si>
    <t>Require a validated inventory and business-owner approval before any analog-line cancellation.</t>
  </si>
  <si>
    <t>Red</t>
  </si>
  <si>
    <t>TBD - 4–6 weeks from testing start</t>
  </si>
  <si>
    <t>Change-management evidence remains outstanding. Johanson will assess whether planned and emergency change evidence is applicable as of the final Type I assessment date; open items do not necessarily prevent auditor assignment.</t>
  </si>
  <si>
    <t>Collect available change records and obtain Johanson’s applicability decision; agree remediation and evidence owners before final assessment.</t>
  </si>
  <si>
    <t>If applicable controls lack evidence at the as-of date, Type I conclusions may be affected.</t>
  </si>
  <si>
    <t>Johanson email, Sep 15, 2026; prior Network Team notes, Sep 11.</t>
  </si>
  <si>
    <t>SOC 2 Entity, Invoice and Payment Reconciliation</t>
  </si>
  <si>
    <t>Robert Moreno / Stacy Nguyen / Adam Gentner / Johanson Accounting / ITEM and UNIS Accounting</t>
  </si>
  <si>
    <t>2026-08-31</t>
  </si>
  <si>
    <t>TBD - after pilot acceptance</t>
  </si>
  <si>
    <t>Make UnisTicket the authoritative channel for operational and customer-related work while preserving reliable ticket creation, ownership, responses, and urgent-service continuity.</t>
  </si>
  <si>
    <t>TBD - after operational acceptance</t>
  </si>
  <si>
    <t>Secure formal business acceptance for Phase 1 and govern the internal-mail restriction request as a separate follow-on change.</t>
  </si>
  <si>
    <t>Urgent-request fallback pending</t>
  </si>
  <si>
    <t>TBD - before broader mail enforcement</t>
  </si>
  <si>
    <t>Maintain customer and operational communication during a UnisTicket outage, especially if direct PH-US email is restricted.</t>
  </si>
  <si>
    <t>The platform’s three-AZ architecture remains in place, but Lex and Operations have not yet confirmed the operating fallback for urgent requests when UnisTicket is unavailable. The proposed broader mail restriction increases the importance of an approved alternate channel.</t>
  </si>
  <si>
    <t>Define outage roles, urgent-request criteria, phone and approved alternate channels, incident communication, duplicate-ticket handling, recovery reconciliation, and test evidence; align the procedure with the internal-mail pilot.</t>
  </si>
  <si>
    <t>Lex Yang / Robin Zhu / Mary Smothers / Gemar Ermac / Technical Team / Robert Moreno</t>
  </si>
  <si>
    <t>Without a tested fallback, a ticketing outage combined with direct-email restrictions could delay time-sensitive customer, warehouse, or employee support requests.</t>
  </si>
  <si>
    <t>Do not expand internal-mail blocking until the urgent-request fallback is approved, communicated, and tested.</t>
  </si>
  <si>
    <t>PH Operations workflow follow-up, Sep 28–Oct 1, 2026 PST; prior ticketing BCP discussions.</t>
  </si>
  <si>
    <t>Client Reconfiguration and Legacy Sender Cleanup</t>
  </si>
  <si>
    <t>Ensure Outlook and mobile clients use the new UNIS.CO sender while preserving approved UNISCO.COM aliases and uninterrupted access to dependent services.</t>
  </si>
  <si>
    <t>Completed installation of the onboard equipment. GPS configuration requires further adjustment, and 5G router SDK testing is in progress.</t>
  </si>
  <si>
    <t>Adjust and validate the GPS configuration, complete the 5G router SDK testing, and verify communication and operation of all onboard equipment.</t>
  </si>
  <si>
    <t>GPS configuration and router integration may require additional testing and adjustment.</t>
  </si>
  <si>
    <t>Continue monitoring GPS validation and 5G router integration progress.</t>
  </si>
  <si>
    <t>Onboard equipment installation has been completed.</t>
  </si>
  <si>
    <t>Continued optimizing visual model accuracy and improving the overall user experience. Initial results can identify vehicle entry and exit activities, license plates, wheel chocks, and personnel.</t>
  </si>
  <si>
    <t>Continue collecting samples, fine-tuning the visual model, validating detection accuracy, and improving the user workflow and interface experience.</t>
  </si>
  <si>
    <t>Continue monitoring model accuracy and user-experience improvements.</t>
  </si>
  <si>
    <t>Visual model and user-experience optimization are ongoing.</t>
  </si>
  <si>
    <t>Operational / shift support assignments pending</t>
  </si>
  <si>
    <t>Sustain AirRob operations at Alessandro through clear shift support, prompt issue reporting, accurate ASRS returns, and appropriate SKU usage.</t>
  </si>
  <si>
    <t>AirRob is in use by Operations. The top SKU list, based on the last 90 days of order volume, was shared on Sep 21. Chad agreed to provide AM and PM AirRob contacts; names have not been confirmed in this thread, and Abhijeet has followed up.</t>
  </si>
  <si>
    <t>Chad/Ops: confirm one primary contact per AM and PM shift. Add each contact to the AirRob WeChat group and arrange training with Abhijeet. Reinforce immediate error reporting and Return to ASRS at each shift transition; review the top SKU list with Ops for appropriate AirRob use.</t>
  </si>
  <si>
    <t>Chad Jacobs / Ops AM and PM contacts (TBD) / Abhijeet Rathi / Brant Ji / Neil Zhou / Anuj Jagetia / WISE Team</t>
  </si>
  <si>
    <t>AM and PM support contacts remain unconfirmed; delayed on-site response to physical faults and missed ASRS returns may cause downtime or inventory discrepancies. Limited SKU adoption may constrain utilization.</t>
  </si>
  <si>
    <t>Ops to name both shift contacts and confirm training and WeChat access; agree on suitable SKUs from the shared list.</t>
  </si>
  <si>
    <t>AirRob operational support email thread, Sep 8–21, 2026; Abhijeet follow-up (date not shown). Previous source: Project Update 8.xlsx – AirRob.</t>
  </si>
  <si>
    <t>BP Air Compressor and Dryer Assessment</t>
  </si>
  <si>
    <t>2026-09-25</t>
  </si>
  <si>
    <t>Contract transfer signed / equipment verification and operational readiness pending</t>
  </si>
  <si>
    <t>TBD - after equipment, access, rack, power, connectivity, and service-readiness validation</t>
  </si>
  <si>
    <t>Bring QTS Suwanee back into service through a controlled reactivation that confirms usable equipment, secure recovery direction, facility readiness, technical ownership, cost, and an achievable deployment schedule.</t>
  </si>
  <si>
    <t>Stacy confirmed that the QTS Suwanee contract transfer from LSO is signed. The commercial transfer is complete, but operational readiness remains pending. Robert shared the LSO inventory link with David for verification of devices removed from QTS and believed to be at Buena Park. Equipment specifications, physical condition, completeness, and suitability have not yet been confirmed.</t>
  </si>
  <si>
    <t>David: reconcile the LSO inventory against equipment at Buena Park and document model, specifications, condition, and any missing or discrepant items. Mike and Yangyang: document the prior compromise, recovery actions, and remaining security requirements. Obtain Tom’s direction on whether any legacy recovery is still required or the team should proceed with a fresh build. Assign a lead for QTS site-readiness validation and confirm rack space, power, connectivity, physical access, support contacts, and whether an onsite visit is required. Consolidate findings, blockers, costs, and expected completion dates into the reactivation plan.</t>
  </si>
  <si>
    <t>Robert Moreno / Stacy Nguyen / Tom Yu / David Rodriguez / Mike Wang / Yangyang Yang / Network Support / Infrastructure and Security Teams / QTS</t>
  </si>
  <si>
    <t>The signed transfer does not establish operational readiness. Equipment may be missing, unsuitable, damaged, or affected by the previous compromise. Rack capacity, power, connectivity, access, service ownership, and onsite requirements are unverified. Delayed decisions on fresh build versus legacy recovery may extend cost and schedule uncertainty.</t>
  </si>
  <si>
    <t>Treat contract execution as a completed milestone only. Require an evidence-based equipment inventory, documented security and recovery history, Tom’s build-direction decision, named site-readiness owner, and confirmed QTS facility capabilities before approving deployment dates or declaring the site operational.</t>
  </si>
  <si>
    <t>QTS Suwanee Reactivation: Status and Next Steps email, 11-Oct-2026 PST. Stacy confirmed the LSO contract transfer is signed; operational readiness remains pending equipment, security/recovery, deployment, and site-readiness decisions.</t>
  </si>
  <si>
    <t>Proposed service scope defined / architecture, platform, capacity, and recovery requirements pending</t>
  </si>
  <si>
    <t>TBD - after equipment suitability, service requirements, site readiness, and architecture approval</t>
  </si>
  <si>
    <t>Define a supportable QTS backup-data-center design for domain controllers, HikCentral, selected application servers, and approved secondary business-continuity services, with clear recovery objectives, ownership, testing, and cost controls.</t>
  </si>
  <si>
    <t>The proposed workload scope includes domain controllers, HikCentral, selected application servers, and possible secondary services for business continuity. Proxmox VE is the proposed virtualization approach, subject to equipment verification and technical assessment. The final design is not approved and depends on hardware suitability, available capacity, site readiness, security requirements, and confirmed service needs.</t>
  </si>
  <si>
    <t>After David completes the equipment verification, assess compute, memory, storage, network, and supportability for reuse and confirm whether Proxmox VE is appropriate. Define the authoritative workload list, service owners, dependencies, recovery time and recovery point objectives, backup and replication methods, network and security design, monitoring, failover and restoration procedures, acceptance criteria, test cadence, implementation phases, required purchases, operating cost, and target schedule. Align the design with Tom’s fresh-build or legacy-recovery direction.</t>
  </si>
  <si>
    <t>Mike Wang / Robert Moreno / Tom Yu / Stacy Nguyen / David Rodriguez / Yangyang Yang / Network Support / Application Owners / Infrastructure, Security, Backup, and QTS Teams</t>
  </si>
  <si>
    <t>Unverified or previously compromised hardware may be unsuitable for reuse. Undefined workload requirements, capacity, recovery objectives, ownership, connectivity, security controls, and testing could produce an unsupported platform or a false sense of resilience. Proxmox VE suitability remains subject to technical validation.</t>
  </si>
  <si>
    <t>Approve the workload scope, recovery objectives, platform decision, accountable owners, budget, and validation plan before build. Require a fresh and secure implementation path unless management explicitly authorizes justified legacy recovery. Do not classify QTS as backup-ready until deployment, access, replication, failover, restoration, and evidence-based testing are completed.</t>
  </si>
  <si>
    <t>QTS Suwanee Reactivation: Status and Next Steps email, 11-Oct-2026 PST. Proposed scope: domain controllers, HikCentral, selected application servers, and potential secondary business-continuity services; Proxmox VE assessment follows equipment verification.</t>
  </si>
  <si>
    <t>N/A</t>
  </si>
  <si>
    <t>David Rodriguez / Mahan Sasani / Jerimar Castaneda / Alessandro Operations / Device Owners / Robert Moreno</t>
  </si>
  <si>
    <t>Service restored / stability monitoring</t>
  </si>
  <si>
    <t>TBD - after stability validation</t>
  </si>
  <si>
    <t>Restore stable network service, identify damaged equipment, and prevent repeat disruption from unresolved electrical or power-distribution conditions.</t>
  </si>
  <si>
    <t>The team recovered connectivity after power-related disruption and abnormal switch recovery. Some equipment in affected IDFs may be damaged. A later UniFi check showed APs and cameras online, but full stability and the electrical root cause remain unverified.</t>
  </si>
  <si>
    <t>Monitor service through the weekend; inventory damaged or unstable equipment; verify switch, uplink, AP, camera, and IDF status; complete the electrical assessment; document the root cause; and submit replacement and UPS recommendations.</t>
  </si>
  <si>
    <t>Mahan Sasani / Jerimar Castaneda / David Rodriguez / Steve Kim and Electrical Team / Alessandro Operations / Robert Moreno</t>
  </si>
  <si>
    <t>Restored connectivity does not prove full recovery. Undetected equipment damage or unresolved power quality issues could cause another outage.</t>
  </si>
  <si>
    <t>Maintain incident oversight until stability evidence, damaged-asset disposition, and the electrical corrective plan are confirmed.</t>
  </si>
  <si>
    <t>Network, Relocation, and Help Desk meeting notes, 2-Oct-2026 PST; Alessandro outage follow-up.</t>
  </si>
  <si>
    <t>LAX Data Center Server Hosting Assessment</t>
  </si>
  <si>
    <t>2026-10-09</t>
  </si>
  <si>
    <t>Riverside/Alessandro IT Office - 22 Workspaces</t>
  </si>
  <si>
    <t>Planning / layout and electrical scope pending</t>
  </si>
  <si>
    <t>TBD - approximately six weeks</t>
  </si>
  <si>
    <t>Prepare 22 usable IT workspaces in Riverside/Alessandro with furniture, monitors, power, data, Wi-Fi, and user acceptance before relocation.</t>
  </si>
  <si>
    <t>Stacy requested 22 workspaces for the IT team in Riverside in approximately six weeks. Employees will retain their laptops; existing tables and monitors may be moved. The exact Riverside/Alessandro location and floor layout are not yet confirmed. Stacy plans a site visit next week with Steve Kim, whose electrician is needed for wiring.</t>
  </si>
  <si>
    <t>Confirm the exact location and layout owner; conduct the site visit; finalize the 22-seat plan; inventory reusable tables and monitors; define power outlets, circuits, data ports, cabling, Wi-Fi, furniture, installation quantities, and schedule; complete installation and validate all workspaces and required applications before move day.</t>
  </si>
  <si>
    <t>Stacy Nguyen / Steve Kim / David Rodriguez / Mahan Sasani / Robert Moreno / Network Engineering / Facilities / IT Team</t>
  </si>
  <si>
    <t>No floor plan or confirmed site exists. Late layout, electrical, data-port, or Wi-Fi decisions could miss the six-week target and create unusable workspaces.</t>
  </si>
  <si>
    <t>Confirm the site visit, exact office location, floor plan, electrical owner, budget, and backward delivery schedule at the next checkpoint.</t>
  </si>
  <si>
    <t>IT Network Team Meeting Notes, 09-Oct-2026 PST.</t>
  </si>
  <si>
    <t>Relocation Network Pre-Staging &amp; Application Validation</t>
  </si>
  <si>
    <t>Heacock Wireless Bridges &amp; Camera Network Readiness</t>
  </si>
  <si>
    <t>Planning / schedule and IP support pending</t>
  </si>
  <si>
    <t>Provide network connectivity for gate AI cameras and guard-shack cameras through two planned wireless building bridges.</t>
  </si>
  <si>
    <t>Two building bridges are planned. David will coordinate camera setup and IP-addressing support with Mahan. Installation timing, exact endpoints, power, mounting, bandwidth, and acceptance testing were not confirmed.</t>
  </si>
  <si>
    <t>Confirm the camera and bridge layout, endpoints, line of sight, mounting, power, VLAN, IP plan, bandwidth, security, monitoring, installer, site schedule, and acceptance tests. Coordinate camera configuration and document final addressing and topology.</t>
  </si>
  <si>
    <t>David Rodriguez / Mahan Sasani / Camera and AI Team / Network Engineering / Heacock Operations</t>
  </si>
  <si>
    <t>Unverified line of sight, power, mounting, RF conditions, or IP design could delay cameras or produce unreliable video connectivity.</t>
  </si>
  <si>
    <t>Confirm the site schedule and design before installation and require end-to-end camera validation.</t>
  </si>
  <si>
    <t>175 Cesanek Site Decommission</t>
  </si>
  <si>
    <t>David Rodriguez / Network Engineering / Facilities / Site Operations / Client Owner / Carrier Owners / Robert Moreno</t>
  </si>
  <si>
    <t>Alessandro Camera Project - Ollie Request</t>
  </si>
  <si>
    <t>Completed / closure evidence pending</t>
  </si>
  <si>
    <t>Confirm completion and retain supportable technical records for the Alessandro camera project requested by Ollie.</t>
  </si>
  <si>
    <t>The project was reported complete during the October 9 checkpoint. Detailed acceptance evidence, final camera inventory, IP addresses, configuration ownership, and Operations sign-off were not included in the notes.</t>
  </si>
  <si>
    <t>Confirm Ollie and Operations acceptance; retain the final camera list, locations, IP and MAC addresses, configuration, monitoring ownership, and support documentation; close related tickets.</t>
  </si>
  <si>
    <t>Ollie / David Rodriguez / Mahan Sasani / Camera and AI Team / Alessandro Operations</t>
  </si>
  <si>
    <t>Closure without inventory or acceptance evidence may create future support and ownership gaps.</t>
  </si>
  <si>
    <t>No escalation if acceptance and technical documentation are available; otherwise assign the documentation owner before closure.</t>
  </si>
  <si>
    <t>Mail Server Vulnerability &amp; Disposition</t>
  </si>
  <si>
    <t>Reuse blocked / owner and replacement plan pending</t>
  </si>
  <si>
    <t>Resolve the vulnerable mail-server condition and approve a safe disposition, replacement, or migration plan.</t>
  </si>
  <si>
    <t>Yangyang reportedly advised that the mail server cannot be reused because of vulnerabilities. The server, affected services, technical owner, business dependencies, evidence, and disposition plan were not identified.</t>
  </si>
  <si>
    <t>Assign the technical and business owners; identify the server and dependent mail services; document the vulnerabilities and exposure; confirm backups and retention needs; isolate or restrict access as required; define migration, replacement, rebuild, or retirement; test the chosen solution and document disposal.</t>
  </si>
  <si>
    <t>Mike Wang / Yangyang Yang / Email and Infrastructure Owners / Security Team / Robert Moreno</t>
  </si>
  <si>
    <t>Reusing a vulnerable system could create security exposure. Retiring it without dependency and retention analysis could interrupt mail services or lose required data.</t>
  </si>
  <si>
    <t>Assign an owner immediately and approve the security containment and disposition path before reuse or shutdown.</t>
  </si>
  <si>
    <t>remote.unisco.com Configuration Investigation</t>
  </si>
  <si>
    <t>Investigation required / change source unknown</t>
  </si>
  <si>
    <t>Determine what changed on remote.unisco.com, restore the required configuration safely, and prevent undocumented changes.</t>
  </si>
  <si>
    <t>Missing configuration was reported. No meeting participant confirmed restarting, restoring, or modifying the server. The change timeline, affected configuration, user impact, logs, backups, and owner remain unknown.</t>
  </si>
  <si>
    <t>Assign an incident owner; preserve and review system, authentication, change, deployment, and backup logs; establish the last-known-good state and timeline; identify affected services and users; validate backups; restore through approved change control; test functionality; document root cause and preventive actions.</t>
  </si>
  <si>
    <t>Mike Wang / Server Owner (TBD) / Infrastructure Team / Security Team / Yangyang Yang / Robert Moreno</t>
  </si>
  <si>
    <t>The unknown change source may indicate configuration drift, an undocumented restoration, operational error, or unauthorized activity. Uncontrolled restoration could overwrite evidence or worsen the outage.</t>
  </si>
  <si>
    <t>Treat as an infrastructure and security investigation. Preserve evidence and require approved recovery and post-change validation.</t>
  </si>
  <si>
    <t>Customer Support Outage Contingency &amp; DR Readiness</t>
  </si>
  <si>
    <t>Decision sheet and working session pending / controls unvalidated</t>
  </si>
  <si>
    <t>TBD - after decision approval and tabletop exercise</t>
  </si>
  <si>
    <t>Finalize and validate a practical customer-support continuity plan for ticketing-only, Microsoft 365-only, and combined outages, with reliable intake, communications, ownership, and reconciliation.</t>
  </si>
  <si>
    <t>The plan is not final. Billy must validate designated-agent access to the shared mailbox, 1Password, authentication, and customer email. Telephony routing, voicemail retrieval independent of email, staffing, after-hours coverage, and whether the 3CX limit of 64 simultaneous calls can support outage demand remain open. Lex must assess fallback channels and how delayed messages are entered after restoration. The 800 number is the minimum fallback intake channel. Ticketing relies primarily on Unisco shared mailboxes, so an M365 outage disrupts ticketing email even if the application remains available. MDaemon or another independent email platform remains an evaluation item only.</t>
  </si>
  <si>
    <t>Robert to schedule the decision working session. Billy to complete mailbox and authentication tests and confirm phone routing, direct voicemail retrieval, normal and outage call peaks, and 3CX capacity. Lex to document fallback behavior for each outage scenario. Operations to name the plan owner, primary and backup incident leads, staffing and after-hours coverage, request assignment, shift handover, customer-communication owner, manual request log, and reconciliation process for delayed email, temporary records, duplicates, and restored tickets. Update the plan after decisions and conduct a tabletop exercise; do not change production systems during the tabletop.</t>
  </si>
  <si>
    <t>Robert Moreno / Billy Rivas / Lex Yang / Mike Wang / Yangyang Yang / Mel Gutierrez / Mary / Patrick / Gemar / Customer Support Operations / Help Desk / 3CX and Telephony Owner</t>
  </si>
  <si>
    <t>M365 dependency may disable ticketing email and voicemail delivery; untested mailbox access or authentication could block agents; the 64-call limit may be insufficient; fallback requests may be lost or duplicated; unclear staffing, handover, and ownership could extend customer impact.</t>
  </si>
  <si>
    <t>High-priority management decision required. Confirm technical and operational owners, approve fallback channels and access, validate telephony capacity, require a controlled manual log and reconciliation procedure, and approve the plan only after evidence-based tabletop completion.</t>
  </si>
  <si>
    <t>Attached email thread: Gentle Follow Up Request for Disaster Recovery and Contingency Plan / Customer Support Outage Contingency Plan; latest status reviewed 12-Oct-2026.</t>
  </si>
  <si>
    <t>External Teams Meeting Invitation Workflow</t>
  </si>
  <si>
    <t>Testing complete / PH-HR approval and controlled implementation pending</t>
  </si>
  <si>
    <t>TBD - after HR approval, configuration, and business validation</t>
  </si>
  <si>
    <t>Enable authorized employees to send external Microsoft Teams meeting invitations through a controlled, auditable workflow without weakening normal external-email restrictions.</t>
  </si>
  <si>
    <t>Relevant testing is complete, but implementation is not. PH-HR must confirm whether personal @unis.co mailboxes may send external Teams invitations and whether permission applies to all users or designated accounts. Until approval, agents should create meetings with individual Outlook accounts, send the meeting link and passcode through the ticketing system, and keep updates and cancellations in the same ticket. A permanent process for organizer account, sending address, access, shared-mailbox use if applicable, ticket capture, and backup coverage remains undefined.</t>
  </si>
  <si>
    <t>Billy to coordinate and document PH-HR approval and the approved user or account scope. Yangyang to configure only that scope after approval and preserve normal external-email restrictions. Yangyang and Jin or Gemar to test the complete workflow: invitation delivery, customer response, meeting join, updates, cancellations, ticket evidence, and organizer-unavailability coverage. Lex and operations to document the permanent process, ownership, access, shared-mailbox option, ticket capture, and backup organizer.</t>
  </si>
  <si>
    <t>Yangyang Yang / Billy Rivas / Lex Yang / Jin / Gemar / Mike Wang / Armin / Cris / PH-HR / Customer Support Operations</t>
  </si>
  <si>
    <t>Overbroad permissions could bypass external-email controls; approval ambiguity could create inconsistent access; organizer dependency or incomplete ticket capture could disrupt customer meetings and weaken auditability; configuration changes before approval could violate HR or security expectations.</t>
  </si>
  <si>
    <t>Maintain Amber status and the documented workaround. Do not enable permissions before written PH-HR approval. Restrict configuration to the approved scope and require successful business validation plus documented operating ownership before production sign-off.</t>
  </si>
  <si>
    <t>Attached email thread: MS Teams Meeting Invites to External Customers; latest status reviewed 12-Oct-2026.</t>
  </si>
  <si>
    <t>PCI DSS Compliance &amp; Payment Data Environment</t>
  </si>
  <si>
    <t>Vanta framework corrected / compliance at 59%</t>
  </si>
  <si>
    <t>TBD - after scope, evidence, and control closure</t>
  </si>
  <si>
    <t>Complete PCI DSS compliance with an accurate Vanta framework, validated payment-data scope, and evidence that required technical and operational controls are implemented.</t>
  </si>
  <si>
    <t>Mike confirmed PCI DSS compliance at 59%. The PCI DSS framework settings in Vanta were recently corrected, and there has been limited additional progress since that correction. Card data remains within the payment-gateway front and back ends, and WAF protection has been implemented for PCI-related applications.</t>
  </si>
  <si>
    <t>Validate the corrected Vanta framework and requirement mapping; reconfirm PAN, CVV, token, storage, transmission, encryption, logging, access, vulnerability, and service-provider scope; close remaining evidence and control gaps; complete the applicable SAQ-D and AOC; and establish a realistic completion plan.</t>
  </si>
  <si>
    <t>Mike Wang / Robert Moreno / PCI Application Owners / Vanta Administrator / Infrastructure and Security Teams</t>
  </si>
  <si>
    <t>The corrected framework may expose new or previously misclassified requirements. Incomplete payment-data mapping, evidence gaps, or unresolved technical controls could delay PCI completion.</t>
  </si>
  <si>
    <t>Maintain Amber status and review the post-correction gap list, accountable owners, and target dates. Treat 59% as the current Vanta readiness position, not certification.</t>
  </si>
  <si>
    <t>Mike Wang email response, Request to Update the IT Security Tab, 12-Oct-2026 PST.</t>
  </si>
  <si>
    <t>PCI WAF implemented / broader SaaS evaluation pending</t>
  </si>
  <si>
    <t>TBD - after cost and impact assessment</t>
  </si>
  <si>
    <t>Maintain compliant WAF protection for PCI applications and determine whether extending WAF coverage to other web-based SaaS applications is justified and operationally safe.</t>
  </si>
  <si>
    <t>WAF has been implemented for PCI DSS-related applications and is considered capable of meeting the applicable PCI DSS requirements. The next potential phase is coverage for other web-based SaaS applications, but expansion has not been approved and requires evaluation of cost and operational impact.</t>
  </si>
  <si>
    <t>Document the PCI WAF architecture, protected applications, rules, logging, alerting, ownership, change control, testing, and evidence. Inventory other web-based SaaS applications; rank them by exposure and business criticality; compare expected risk reduction, licensing and support cost, latency, compatibility, and implementation effort; then submit a phased recommendation.</t>
  </si>
  <si>
    <t>Mike Wang / Robert Moreno / Application Owners / Infrastructure and Security Teams / Finance and Procurement</t>
  </si>
  <si>
    <t>Existing PCI coverage requires ongoing tuning and evidence. Broad expansion without application testing may cause outages, blocked transactions, latency, or unjustified cost; delaying high-risk SaaS coverage may leave preventable exposure.</t>
  </si>
  <si>
    <t>Accept the PCI implementation as the completed current milestone, but require a risk-based business case before funding or deploying broader SaaS coverage.</t>
  </si>
  <si>
    <t>On hold / not a current priority</t>
  </si>
  <si>
    <t>TBD - management reprioritization required</t>
  </si>
  <si>
    <t>Provide centrally governed DNS-layer protection across prioritized branches when the risk, funding, and operational priority justify implementation.</t>
  </si>
  <si>
    <t>Mike confirmed that DNS Security is on hold and is not a current priority. China continues using the OneDNS free tier, overseas locations use Cloudflare free security DNS, and Infoblox and Palo Alto DNS-security options were previously tested. No new rollout or procurement activity is approved.</t>
  </si>
  <si>
    <t>Maintain the current DNS protections and document ownership and limitations. Keep vendor test results and quotations current. Define reactivation triggers such as threat trends, compliance requirements, free-tier limitations, branch incidents, or available budget, and reassess priority during the next security roadmap review.</t>
  </si>
  <si>
    <t>Mike Wang / Robert Moreno / Network and Security Teams / Branch IT Owners</t>
  </si>
  <si>
    <t>Free-tier services may provide limited visibility, policy control, support, retention, or coverage consistency. A prolonged hold could leave branches with uneven DNS protection, while premature rollout could create cost and operational disruption.</t>
  </si>
  <si>
    <t>No immediate investment decision is required. Retain Amber status, document the accepted residual risk, and set a formal review point rather than leaving the workstream indefinitely open.</t>
  </si>
  <si>
    <t>Pilot Testing / In Progress</t>
  </si>
  <si>
    <t>IOT-RELATED PROJECTS &amp; TASKS</t>
  </si>
  <si>
    <t>Team Lead: Yabin Liu | Reporting Date: 2026-08-23 PST | Source: IT_Project_Roadmap_Consolidated_2026_v1.0 (23Aug2026 PST)</t>
  </si>
  <si>
    <t>Owner / Responsible</t>
  </si>
  <si>
    <r>
      <rPr>
        <sz val="9"/>
        <color rgb="FF1F1F1F"/>
        <rFont val="Carlito"/>
        <charset val="134"/>
      </rPr>
      <t>The BP</t>
    </r>
    <r>
      <rPr>
        <sz val="9"/>
        <color rgb="FF1F1F1F"/>
        <rFont val="Times New Roman"/>
        <family val="1"/>
      </rPr>
      <t>‑</t>
    </r>
    <r>
      <rPr>
        <sz val="9"/>
        <color rgb="FF1F1F1F"/>
        <rFont val="Carlito"/>
        <charset val="134"/>
      </rPr>
      <t>hosted GPU can cover the workloads for both the BP site and Walnut site.</t>
    </r>
  </si>
  <si>
    <r>
      <rPr>
        <sz val="9"/>
        <color rgb="FF1F1F1F"/>
        <rFont val="Carlito"/>
        <charset val="134"/>
      </rPr>
      <t>Current Main Tasks for the IoT Platform</t>
    </r>
    <r>
      <rPr>
        <sz val="9"/>
        <color rgb="FF1F1F1F"/>
        <rFont val="Times New Roman"/>
        <family val="1"/>
      </rPr>
      <t>‑</t>
    </r>
    <r>
      <rPr>
        <sz val="9"/>
        <color rgb="FF1F1F1F"/>
        <rFont val="Carlito"/>
        <charset val="134"/>
      </rPr>
      <t xml:space="preserve"> P2 Development</t>
    </r>
  </si>
  <si>
    <t>Observation active / preparation prerequisites and entity update pending</t>
  </si>
  <si>
    <t>Complete the ITEM SOC 2 Type II renewal, preserve the Jan 21, 2026–Jan 20, 2027 observation period, and ensure the engagement, Vanta audit, billing, System Description, and final report use the approved reporting entity.</t>
  </si>
  <si>
    <t>Johanson confirmed that preparation may run in parallel, but formal testing would generally begin after the observation period. Before audit-team assignment, ITEM must provide an updated System Description in Word, create the Type II audit in Vanta and grant Johanson access, complete the Audit Scoping Form, and close the initial invoice/payment requirement. ITEM LLC to Item.com, Inc. also requires supporting legal documents and a signed Change Order.</t>
  </si>
  <si>
    <t>Create the ITEM Type II audit in Vanta; grant Johanson access; submit the updated Word System Description and separate scoping form; reconcile the existing $7,500 payment against Johanson’s initial-payment prerequisite; provide legal transition documents; execute the Change Order; and confirm that engagement records and the final reporting entity are consistent before assignment.</t>
  </si>
  <si>
    <t>Robert Moreno / Stacy Nguyen / Adam Gentner / Johanson Audit and Accounting Teams / Mike Wang / Legal / Vanta Administrator</t>
  </si>
  <si>
    <t>Missing Vanta access, scoping, payment reconciliation, or legal documentation can delay assignment. Mixed ITEM LLC and Item.com, Inc. operations may affect the reporting-entity conclusion if contracts, employees, customers, or services remain split.</t>
  </si>
  <si>
    <t>Keep preparation active, but do not represent November as formal testing. Require written confirmation of payment allocation, legal-entity treatment, and assignment prerequisites.</t>
  </si>
  <si>
    <t>Adam Gentner SOC 2 strategy follow-up, updated 12-Oct-2026 PST; ITEM observation period and prior $7,500 payment record.</t>
  </si>
  <si>
    <t>TBD - before scoping form submission</t>
  </si>
  <si>
    <t>TBD - aligned with approved TSC scope</t>
  </si>
  <si>
    <t>Vanta preparation active at ~48% / audit timing not approved</t>
  </si>
  <si>
    <t>TBD - after pricing, readiness, and separate engagement approval</t>
  </si>
  <si>
    <t>Continue GDPR evidence preparation in Vanta while separately confirming pricing, entity treatment, audit scope, readiness criteria, and assessment timing.</t>
  </si>
  <si>
    <t>Johanson confirmed that GDPR evidence preparation may continue in parallel. The Vanta instance is available and was reported at approximately 48% complete. Vanta’s prorated framework pricing and the audit engagement requirements remain separate open items. No formal November audit start has been approved.</t>
  </si>
  <si>
    <t>Continue evidence collection and mapping; obtain Vanta’s written prorated pricing and contracting terms; confirm whether work prepared under ITEM LLC carries to Item.com, Inc.; define scope and readiness criteria with Johanson; then obtain management approval for the assessment schedule.</t>
  </si>
  <si>
    <t>Stacy Nguyen / Robert Moreno / Vanta / Adam Gentner / Legal / Privacy and Control Owners</t>
  </si>
  <si>
    <t>Preparation may be misread as audit authorization. Entity changes, unapproved pricing, incomplete evidence, or unclear engagement terms could create rework or cost exposure.</t>
  </si>
  <si>
    <t>Allow evidence work to continue, but keep audit timing and purchasing subject to explicit pricing, entity, readiness, and engagement approval.</t>
  </si>
  <si>
    <t>Adam Gentner SOC 2 strategy follow-up, updated 12-Oct-2026 PST.</t>
  </si>
  <si>
    <t>TBD - pending scope decision and auditor assignment</t>
  </si>
  <si>
    <t>Legal documentation and Change Order pending / current entities retained</t>
  </si>
  <si>
    <t>TBD - after legal review and signed Change Order</t>
  </si>
  <si>
    <t>Preserve audit continuity while formally documenting and approving any transition from ITEM LLC to Item.com, Inc. and, separately, UNIS LLC to Unisco.com Inc.</t>
  </si>
  <si>
    <t>Johanson does not require a special template. Acceptable evidence includes formation documents, a business license, or another official record showing the new legal name. A true entity change also requires documentation showing the relationship between entities. After receipt, Johanson can prepare the Change Order and update the engagement, System Description, and internal records. Reuse of audit work depends on materially unchanged systems, controls, personnel, infrastructure, services, and operations.</t>
  </si>
  <si>
    <t>Legal to provide official transition documentation and identify whether each change is a rename or a separate-entity transition. Map contracts, employees, customers, services, systems, and control ownership. Submit the package to Johanson, obtain the audit-team assessment, execute the Change Order, and update all records consistently.</t>
  </si>
  <si>
    <t>James Tran / Robert Moreno / Stacy Nguyen / Adam Gentner / Johanson Audit Team / Mike Wang / Vanta Administrator</t>
  </si>
  <si>
    <t>Insufficient legal continuity evidence or mixed-entity operations could prevent a simple name update, misstate the reporting entity, or require broader scope and engagement changes.</t>
  </si>
  <si>
    <t>Retain UNIS LLC and ITEM LLC as the active audit entities until legal review and signed Change Orders authorize a change.</t>
  </si>
  <si>
    <t>Adam Gentner entity-transition guidance, Sep 30–Oct 2026 follow-up thread.</t>
  </si>
  <si>
    <t>UNIS payment complete / ITEM billing name and prerequisite reconciliation open</t>
  </si>
  <si>
    <t>TBD - Johanson and Accounting written confirmation</t>
  </si>
  <si>
    <t>Reconcile invoices, payments, billing names, and remaining milestones for the UNIS Type I and ITEM Type II engagements.</t>
  </si>
  <si>
    <t>Johanson marked the UNIS Type I payment complete. For ITEM Type II, Adam acknowledged the billing-name issue and will ensure the invoice is associated with the correct ITEM entity rather than UNIS. The workbook records $7,500 paid for ITEM LLC, while Johanson’s latest assignment checklist still includes completion of the initial invoice/payment.</t>
  </si>
  <si>
    <t>Obtain the corrected ITEM invoice; confirm in writing how the $7,500 payment is applied; confirm whether any initial amount remains due; reconcile both entities with Accounting; retain the confirmations with the SOWs; and document future invoice milestones and remaining balances.</t>
  </si>
  <si>
    <t>Incorrect billing entity or unresolved payment application could cause duplicate charges, delay ITEM assignment, or link the engagement and report to the wrong company.</t>
  </si>
  <si>
    <t>Keep the item open until Johanson and Accounting confirm the corrected billing name, payment allocation, remaining balance, and absence of duplicate initial charges.</t>
  </si>
  <si>
    <t>Adam Gentner SOC 2 strategy follow-up and existing invoice/payment records, updated 12-Oct-2026 PST.</t>
  </si>
  <si>
    <t>TBD - after approved pilot and acceptance review</t>
  </si>
  <si>
    <t>TSP Shipping Savings Analysis &amp; Business Case</t>
  </si>
  <si>
    <t>Analysis presented / calculation basis requires reconciliation</t>
  </si>
  <si>
    <t>TBD - after eHub analysis clarification and TSP review</t>
  </si>
  <si>
    <t>Establish a defensible TSP savings case using equivalent service comparisons, complete cost assumptions, and an agreed reporting period.</t>
  </si>
  <si>
    <t>eHub compared equivalent service types using TSP historical shipments. The sample contained 532 shipments over just under two months, with current spend just under $11,000 and proposed spend of $8,472, or approximately 21% savings. Zone 8 represented the largest shipment share. One 11-pound Zone 7 example decreased from $29.84 to $18.53, saving $11.31. Rounded references of about $1,600 USPS savings and $965 UPS savings require reconciliation with the written analysis.</t>
  </si>
  <si>
    <t>eHub to send the detailed analysis and identify the exact sample dates, baseline spend, period represented by $15,433, annualization method, excluded fees, carrier and service mapping, zone and weight assumptions, and UPS/USPS savings bridge. TSP to review rates, carrier preferences, delivery needs, and exceptions.</t>
  </si>
  <si>
    <t>eHub Account Executive / Katie Petty / TSP Finance and Operations / Robert Moreno</t>
  </si>
  <si>
    <t>The headline amount may be misinterpreted as annual savings; rounded carrier figures may not reconcile; omitted accessorials, adjustments, or non-equivalent services could overstate the business case.</t>
  </si>
  <si>
    <t>Require a reconciled savings bridge and TSP validation before using the forecast for approval, contracting, or pilot success targets.</t>
  </si>
  <si>
    <t>e-Hub 08Oct2026 PST, Sections 2, 10, 11, and 12; shipping savings analysis and action items.</t>
  </si>
  <si>
    <t>ITEM WMS Pre-Label Rate Shopping &amp; Service Selection</t>
  </si>
  <si>
    <t>Requirement confirmed / end-to-end demonstration pending</t>
  </si>
  <si>
    <t>Confirm that TSP can compare eHub and existing-carrier rates, view expected delivery timing, manually select a preferred service, and generate the label within its existing ITEM workflow.</t>
  </si>
  <si>
    <t>eHub stated that ITEM is already integrated and that rates should be accessible without a separate integration. TSP confirmed that users compare price and delivery timing before label creation and may choose a faster or preferred service rather than the lowest price. A separate rate-comparison form may be needed, but the referenced PC or EDI application was not clearly identified. The workflow was discussed but not demonstrated or tested.</t>
  </si>
  <si>
    <t>TSP and ITEM to identify the exact application and screen. ITEM and eHub to demonstrate rate requests using origin and destination ZIP codes and required delivery windows; display eligible services, expected transit, rates, and existing-account options; allow manual selection before purchase; generate the label; and verify errors, audit history, performance, and user acceptance.</t>
  </si>
  <si>
    <t>ITEM Technical Team / eHub Integration Team / Robert Moreno / Katie Petty / TSP Operations and Users</t>
  </si>
  <si>
    <t>The existing integration may not support TSP’s required decision point, service visibility, manual override, or exact application. Transit estimates were discussed, but no contractual delivery guarantee or late-delivery remedy was established.</t>
  </si>
  <si>
    <t>Treat successful end-to-end testing and documented user acceptance as a pilot entry gate. Clearly distinguish expected transit from a guaranteed delivery commitment.</t>
  </si>
  <si>
    <t>e-Hub 08Oct2026 PST, Sections 3 and 6; delivery timing and ITEM WMS rate-shopping workflow.</t>
  </si>
  <si>
    <t>TSP Billing, Funding &amp; Account Setup</t>
  </si>
  <si>
    <t>Options discussed / commercial selection pending</t>
  </si>
  <si>
    <t>TBD - before pilot activation</t>
  </si>
  <si>
    <t>Approve a billing and funding model that TSP, eHub, ITEM, and Finance can operate and reconcile without shipment interruption or payment ambiguity.</t>
  </si>
  <si>
    <t>USPS was described as using a funded postage meter with charges deducted as shipments are processed. UPS may use prepaid funding or weekly payment terms, with payments made to eHub and eHub paying UPS. No payment option, account structure, credit terms, funding threshold, invoice process, or reconciliation owner was selected.</t>
  </si>
  <si>
    <t>eHub and TSP Finance to document USPS meter funding, replenishment controls, low-balance alerts, UPS prepaid and weekly-payment options, credit requirements, invoicing, adjustments, taxes and fees, dispute handling, payment timing, accounting treatment, and reconciliation ownership. Select and approve the model before pilot activation.</t>
  </si>
  <si>
    <t>eHub Finance / TSP Finance / ITEM Finance / Katie Petty / Robert Moreno</t>
  </si>
  <si>
    <t>Unapproved funding or payment terms could stop label creation, create credit exposure, delay settlement, or produce invoice and adjustment disputes.</t>
  </si>
  <si>
    <t>Require Finance approval, documented account ownership, and a tested funding and reconciliation process before production shipment volume is enabled.</t>
  </si>
  <si>
    <t>e-Hub 08Oct2026 PST, Section 4 and billing action item.</t>
  </si>
  <si>
    <t>Claims, Declared Value &amp; Shipment Coverage</t>
  </si>
  <si>
    <t>Capability discussed / policy and procedures unconfirmed</t>
  </si>
  <si>
    <t>TBD - before high-value shipment pilot</t>
  </si>
  <si>
    <t>Define claims support and shipment-protection rules for TSP’s higher-value automotive parts before any covered shipments are processed.</t>
  </si>
  <si>
    <t>eHub stated that its support team can submit UPS claims using shipment details such as the tracking number. UPS declared value can be passed through the integration and may create an extra charge; USPS services were described as including $100 standard coverage. Claim deadlines, evidence, eligibility, settlement timing, exclusions, service-specific limits, and the distinction between declared value and insurance were not established.</t>
  </si>
  <si>
    <t>eHub to provide the supported carriers and services, declared-value API fields and limits, pricing, included coverage, exclusions, claim deadlines, required documents, submission workflow, escalation path, settlement timing, liability treatment, and customer responsibilities. ITEM and TSP to test a high-value scenario and approve the operating procedure.</t>
  </si>
  <si>
    <t>eHub Claims and Support / ITEM Technical Team / TSP Operations and Finance / Katie Petty / Robert Moreno</t>
  </si>
  <si>
    <t>Incorrect assumptions about declared value, insurance, included coverage, or claim eligibility could leave expensive automotive parts underprotected and create customer or financial disputes.</t>
  </si>
  <si>
    <t>Do not include high-value shipments in the pilot until coverage terms, system behavior, costs, and claims ownership are documented and accepted.</t>
  </si>
  <si>
    <t>e-Hub 08Oct2026 PST, Section 5 and claims and coverage action item.</t>
  </si>
  <si>
    <t>eHub Analytics Access &amp; Delivery Performance</t>
  </si>
  <si>
    <t>Platform demonstrated / TSP onboarding and KPI design pending</t>
  </si>
  <si>
    <t>TBD - aligned with pilot</t>
  </si>
  <si>
    <t>Provide TSP with governed analytics access and use actual performance data to monitor cost, transit, carrier mix, zones, weights, and delivery-promise decisions.</t>
  </si>
  <si>
    <t>eHub demonstrated analytics included at no additional charge and stated that TSP would receive its own login. Views included transit by carrier, state and zone; date and carrier filters; average cost by zone and weight; carrier and service mix; geographic volume; and package-level adjustments. Analytics could help identify where ground services support a three-day offer, but this was presented as planning insight, not a delivery commitment.</t>
  </si>
  <si>
    <t>Confirm TSP user roles, access provisioning, data latency, retention, export capability, KPI definitions, reporting cadence, support ownership, and pilot dashboard. Define cost, transit, on-time performance, service mix, adjustment rate, savings, and exception thresholds.</t>
  </si>
  <si>
    <t>eHub Analytics Team / TSP Operations and Management / ITEM Technical Team / Katie Petty / Robert Moreno</t>
  </si>
  <si>
    <t>Without agreed definitions and access controls, analytics may be incomplete, delayed, or interpreted as a service guarantee. A dashboard alone does not prove carrier performance or savings.</t>
  </si>
  <si>
    <t>Approve KPI definitions and reporting ownership before pilot start and use actual pilot results, not forecast values, for rollout decisions.</t>
  </si>
  <si>
    <t>e-Hub 08Oct2026 PST, Section 7 and analytics demonstration table.</t>
  </si>
  <si>
    <t>Shipping Adjustment Monitoring &amp; Warehouse Accuracy</t>
  </si>
  <si>
    <t>Capability demonstrated / operational controls pending</t>
  </si>
  <si>
    <t>TBD - during pilot readiness</t>
  </si>
  <si>
    <t>Detect carrier adjustments quickly and correct recurring weight, dimension, scale, packaging, or data-entry issues that erode negotiated savings.</t>
  </si>
  <si>
    <t>TSP is not currently tracking adjustment percentages. eHub demonstrated package-level adjustment review and cited potential causes including incorrect weight, incorrect dimensions, misconfigured warehouse scales, and inaccurate box-manufacturer dimensions. One example described a four-pound entry measured by USPS at five pounds, which could add charges and remove discounted pricing. Exact carrier adjustment rules were not verified.</t>
  </si>
  <si>
    <t>Define the adjustment KPI, baseline, alert threshold, review cadence, owner, dispute workflow, and corrective-action process. Validate warehouse scales, dimensional data, packaging master data, and user entry controls. Reconcile adjustments to invoices and include adjustment leakage in pilot savings calculations.</t>
  </si>
  <si>
    <t>TSP Warehouse Operations / TSP Finance / eHub Analytics and Support / ITEM Technical Team / Robert Moreno</t>
  </si>
  <si>
    <t>Unmonitored adjustments can materially reduce forecast savings. Inaccurate measurements or master data may recur across shipments and create billing disputes.</t>
  </si>
  <si>
    <t>Make adjustment monitoring and warehouse measurement validation mandatory pilot controls with named owners and corrective-action tracking.</t>
  </si>
  <si>
    <t>e-Hub 08Oct2026 PST, Section 8; adjustment monitoring demonstration.</t>
  </si>
  <si>
    <t>Existing Carrier Account Analytics Integration</t>
  </si>
  <si>
    <t>FedEx and existing-account reporting discussed / connection design pending</t>
  </si>
  <si>
    <t>TBD - after platform and account confirmation</t>
  </si>
  <si>
    <t>Create a consolidated performance view across eHub-provided services and TSP’s own carrier accounts without disrupting existing contracts or routing choices.</t>
  </si>
  <si>
    <t>eHub stated that analytics may include shipments from TSP-owned accounts such as FedEx when connected through the appropriate integration. The source system name sounded like “RADI,” but its exact name, owner, supported connection method, credentials, data scope, and implementation requirements were not confirmed.</t>
  </si>
  <si>
    <t>Confirm the source platform name and owner; identify supported FedEx and other account connections; document authentication, permissions, data fields, history, refresh timing, security, cost, and reconciliation; then test consolidated reporting with sample shipments.</t>
  </si>
  <si>
    <t>eHub Analytics and Integration Teams / ITEM Technical Team / TSP Carrier and IT Owners / Katie Petty / Robert Moreno</t>
  </si>
  <si>
    <t>An unidentified platform or unsupported connector may delay consolidated reporting. Credential, data-quality, security, and duplicate-shipment issues could produce incomplete or misleading analytics.</t>
  </si>
  <si>
    <t>Assign a technical owner and require a documented, security-approved connection design before relying on combined carrier reporting.</t>
  </si>
  <si>
    <t>e-Hub 08Oct2026 PST, Section 9 and existing-account analytics action item.</t>
  </si>
  <si>
    <t>Completion Date</t>
  </si>
  <si>
    <t>SOC 2 Type I Renewal for UNIS LLC</t>
  </si>
  <si>
    <t>Scoping form outstanding / audit assignment blocked / schedule behind</t>
  </si>
  <si>
    <t>Complete the UNIS LLC SOC 2 Type I audit using the confirmed prior-year scope, validate the current-year cybersecurity and network details, and move the delayed engagement into audit-team assignment.</t>
  </si>
  <si>
    <t>The Type I as-of date was 28-Sep-2026 and has passed. Adam Gentner confirmed the engagement cannot move to audit-team assignment because the current Audit Scoping Form is still outstanding. The form is a new, mandatory current-year process; prior-year documents and the System Description may be used only as references. Mike Wang left before completing the technical sections, and Vincent confirmed he is not the appropriate technical owner to validate or sign them.</t>
  </si>
  <si>
    <t>Robert to identify the current cybersecurity/network security owner and send Adam G(CSM - Johanson Group) the owner’s name and email. Adam will send the form directly to that owner. The owner must complete and validate the remaining sections, submit the form, and trigger audit-team assignment. After assignment, add the Johanson Project Lead, backup auditor, and QA reviewer to Vanta; then review the System Description, scope, access, controls, evidence, and revised testing plan.</t>
  </si>
  <si>
    <t>Robert Moreno / Current Cybersecurity and Network Security Owner (TBD) / Stacy Nguyen / Adam Gentner / Johanson Audit Team</t>
  </si>
  <si>
    <t>Mandatory scoping is incomplete; no responsible technical owner is confirmed; the 28-Sep-2026 as-of date has passed; audit-team assignment and Type I testing are delayed. Prior-year materials cannot replace current-year validation.</t>
  </si>
  <si>
    <t>P1 escalation. Name the accountable technical owner immediately, complete the form, and obtain Johanson’s revised assignment and audit schedule. Do not assign sign-off to a person who does not own the technical scope.</t>
  </si>
  <si>
    <t>Adam Gentner Audit Scoping Form email thread, updated 15-Oct-2026 PST.</t>
  </si>
  <si>
    <t>SOC 2 Type II Renewal for ITEM LLC</t>
  </si>
  <si>
    <t>UNIS LLC SOC 2 TSC &amp; System Scope Alignment</t>
  </si>
  <si>
    <t>Prior-year scope confirmed / current-year technical validation pending</t>
  </si>
  <si>
    <t>Maintain one validated UNIS Type I scope across the Audit Scoping Form, System Description, Vanta framework, control matrix, evidence plan, and final report.</t>
  </si>
  <si>
    <t>The CIO/CTO confirmed that the UNIS Type I scope remains the same as last year. Adam confirmed that the current Audit Scoping Form is still required even when scope is unchanged. Prior-year documentation and the System Description are reference inputs only; this year’s system details, contacts, scope confirmations, and cybersecurity/network information must be validated by the responsible current owner.</t>
  </si>
  <si>
    <t>Use the prior report and current System Description as references; have the responsible technical owner validate every current-year response; reconcile the form to Vanta, the control matrix, and evidence; document any changed systems or contacts; and obtain Johanson confirmation that the submitted scope is sufficient for assignment.</t>
  </si>
  <si>
    <t>Robert Moreno / Current Cybersecurity and Network Security Owner (TBD) / Stacy Nguyen / Adam Gentner / Johanson Audit Team / Control Owners</t>
  </si>
  <si>
    <t>An unchanged high-level scope does not eliminate current-year validation. Reusing prior answers without owner verification could misstate systems, contacts, controls, or evidence and delay the audit further.</t>
  </si>
  <si>
    <t>Scope direction is substantially resolved, but management must assign the validating technical owner and require a documented current-year review before submission.</t>
  </si>
  <si>
    <t>Evidence readiness advanced / scoping-owner dependency open</t>
  </si>
  <si>
    <t>Prepare complete, current-year audit evidence that matches the confirmed UNIS Type I scope and supports Johanson’s review after audit-team assignment.</t>
  </si>
  <si>
    <t>The updated System Description and prior-year materials are available as references, but the current Audit Scoping Form remains incomplete. Johanson cannot assign the audit team until the responsible cybersecurity/network owner validates the outstanding technical sections. Evidence work can remain staged, but formal auditor review has not started.</t>
  </si>
  <si>
    <t>Assign the responsible technical owner; complete the scoping form; reconcile current systems, contacts, controls, and evidence in Vanta; grant the assigned Project Lead, backup auditor, and QA reviewer access; then complete Johanson’s scope, control, and evidence review and close any gaps.</t>
  </si>
  <si>
    <t>Current Cybersecurity and Network Security Owner (TBD) / Robert Moreno / Stacy Nguyen / Control Owners / Adam Gentner / Johanson Audit Team / Vanta Administrator</t>
  </si>
  <si>
    <t>Evidence may become stale or misaligned while assignment is blocked. Missing ownership and delayed auditor review can compress remediation time and jeopardize the revised Type I schedule.</t>
  </si>
  <si>
    <t>Maintain evidence collection, but prioritize owner assignment and the scoping form because they are the gating path to formal review.</t>
  </si>
  <si>
    <t>UNIS LLC SOC 2 Type I Readiness, Payment and Auditor Assignment</t>
  </si>
  <si>
    <t>Critical blocker / as-of date passed / owner identification in progress</t>
  </si>
  <si>
    <t>Close the remaining UNIS ownership and scoping gate so Johanson can assign the audit team and rebaseline the delayed Type I engagement.</t>
  </si>
  <si>
    <t>The updated System Description is on file and payment was previously recorded complete. The sole assignment gate is the mandatory current Audit Scoping Form. The original 28-Sep-2026 as-of date has passed. Mike Wang left before completing the cybersecurity/network sections; Vincent stated he is not the appropriate technical owner. Robert is coordinating identification of the correct owner. Adam will send the form directly once the owner’s name and email are provided.</t>
  </si>
  <si>
    <t>Confirm the accountable technical owner and contact details; have Adam issue the form directly; complete and validate all remaining sections; submit it; obtain written audit-team assignment; add the Project Lead, backup auditor, and QA reviewer in Vanta; and publish a revised milestone plan and Type I schedule.</t>
  </si>
  <si>
    <t>The engagement is behind the planned schedule and cannot enter audit-team assignment. Continued delay may invalidate assumptions tied to the prior as-of date and compress testing, evidence review, remediation, and reporting.</t>
  </si>
  <si>
    <t>Daily P1 tracking until the form is submitted and assignment is confirmed. Rebaseline the as-of date and downstream milestones with Johanson immediately after assignment.</t>
  </si>
  <si>
    <t>The vendor collected UNIS and ITEM equipment on Thursday (10/8); certificates are expected three to four weeks after pickup.</t>
  </si>
  <si>
    <t>Vesync analysis received / pilot and commercial decisions pending</t>
  </si>
  <si>
    <t>Validate eHub carrier savings and ITEM WMS compatibility, then prove commercial, technical, billing, operational, and service performance through controlled customer pilots before broader rollout.</t>
  </si>
  <si>
    <t>The TSP review remains pending reconciliation. A detailed Vesync Carrier Orchestration Report was received on 9-Oct-2026 covering 35,080 shipments from 3-Aug through 18-Sep-2026. Vesync current spend was $300,891.08 versus proposed spend of $253,333.73, producing modeled sample savings of $47,557.35 or 15.8%. The report projects $346,489 annualized savings over 255 business days, with an estimated average SLA change of 0.9 additional days. These are modeled results and no pilot, commercial commitment, implementation date, or go-live approval was recorded.</t>
  </si>
  <si>
    <t>Reconcile the TSP analysis separately. For Vesync, validate accessorials, carrier eligibility, service mappings, geographic coverage, SLA impact, UniUni concentration, claims, declared value, billing, analytics, and ITEM WMS behavior. Define a controlled pilot with baseline, scope, owners, success thresholds, customer acceptance, reporting, rollback, and approval gates.</t>
  </si>
  <si>
    <t>Robert Moreno / Jody Crouse / Lam Xie / Katie Petty / Gene Kwon / Jason Hermansen / Jack Liu / Robert Chung / eHub and ITEM Technical Teams / Customer Operations and Finance</t>
  </si>
  <si>
    <t>Both savings cases are modeled and not yet realized. Vesync introduces a significant proposed UniUni concentration and an estimated 0.9-day average SLA increase. Commercial terms, service eligibility, accessorials, claims, billing, technical readiness, operational acceptance, and pilot performance remain unvalidated.</t>
  </si>
  <si>
    <t>Maintain Amber status. Treat the $346,489 figure as an annualized projection, not committed savings. Protect the confidential report and require documented commercial, technical, operational, financial, and service acceptance before broader rollout.</t>
  </si>
  <si>
    <t>e-Hub 08Oct2026 PST meeting notes; Vesync Carrier Orchestration Report received 9-Oct-2026 PST, based on 35,080 shipments from 3-Aug to 18-Sep-2026.</t>
  </si>
  <si>
    <t>Vesync Carrier Orchestration Analysis and Pilot Decision</t>
  </si>
  <si>
    <t>Detailed report received / validation and pilot approval pending</t>
  </si>
  <si>
    <t>TBD - after Vesync pilot decision</t>
  </si>
  <si>
    <t>Validate the Vesync carrier-orchestration business case and service impact, then approve a measured pilot only if savings, transit, coverage, operations, and financial controls meet agreed thresholds.</t>
  </si>
  <si>
    <t>eHub priced all 35,080 shipments in the 3-Aug to 18-Sep-2026 dataset and reported no rows removed during cleaning. Current spend was $300,891.08 and proposed spend was $253,333.73, for $47,557.35 sample savings or 15.8%. Annualized savings were projected at $346,489 using 255 business days. The proposed mix routes 20,010 shipments or 57.0% to UniUni, 5,997 or 17.1% to USPS services, 6,776 or 19.3% to UPS services, and 2,297 or 6.5% remain on FedEx. Average transit is estimated to increase by 0.9 days.</t>
  </si>
  <si>
    <t>Vesync, ITEM, and eHub to reconcile the rate workbook and assumptions, including accessorials, dimensional adjustments, excluded fees, service eligibility, zone and weight logic, carrier capacity, pickup coverage, transit estimates, claims, declared value, and invoice treatment. Define a limited pilot with representative zones and weights, actual-cost and on-time KPIs, exception thresholds, analytics access, owners, rollback, and formal acceptance criteria.</t>
  </si>
  <si>
    <t>Jason Hermansen / Katie Petty / Jack Liu / Robert Chung / Lam Xie / Robert Moreno / Vesync Operations and Finance / ITEM and eHub Technical Teams</t>
  </si>
  <si>
    <t>Savings may change with volume, carrier mix, commitments, accessorials, and service requirements. Routing 57.0% of volume to UniUni creates carrier-capacity and coverage concentration risk. The 0.9-day estimated SLA increase may affect customer commitments, and forecast results do not establish actual savings or on-time performance.</t>
  </si>
  <si>
    <t>Keep Amber until Vesync accepts the commercial assumptions and pilot design. Do not use the report for third-party benchmarking or carrier negotiation. Require actual pilot cost, adjustment, transit, and exception results before rollout approval.</t>
  </si>
  <si>
    <t>Vesync Carrier Orchestration Report and detailed USPS/UPS/UniUni workbook received 9-Oct-2026 PST. Analysis period: 3-Aug to 18-Sep-2026; 35,080 shipments.</t>
  </si>
  <si>
    <t>In progress</t>
  </si>
  <si>
    <r>
      <t xml:space="preserve">- Barrier integration </t>
    </r>
    <r>
      <rPr>
        <sz val="9"/>
        <color rgb="FF1F1F1F"/>
        <rFont val="Segoe UI Emoji"/>
        <family val="2"/>
      </rPr>
      <t>✅</t>
    </r>
    <r>
      <rPr>
        <sz val="9"/>
        <color rgb="FF1F1F1F"/>
        <rFont val="Carlito"/>
        <charset val="134"/>
      </rPr>
      <t xml:space="preserve"> Completed
- Quadruped robot: 40%
- YMS master data: 70%
- Vehicle guidance SMS feature:</t>
    </r>
    <r>
      <rPr>
        <sz val="9"/>
        <color rgb="FF1F1F1F"/>
        <rFont val="Segoe UI Symbol"/>
        <family val="2"/>
      </rPr>
      <t>✅</t>
    </r>
    <r>
      <rPr>
        <sz val="9"/>
        <color rgb="FF1F1F1F"/>
        <rFont val="Carlito"/>
        <charset val="134"/>
      </rPr>
      <t xml:space="preserve"> Completed
- Yard digital twin &amp; AI interaction: demo </t>
    </r>
    <r>
      <rPr>
        <b/>
        <sz val="9"/>
        <color rgb="FF00B050"/>
        <rFont val="Carlito"/>
        <charset val="134"/>
      </rPr>
      <t>65%</t>
    </r>
    <r>
      <rPr>
        <sz val="9"/>
        <color rgb="FF1F1F1F"/>
        <rFont val="Carlito"/>
        <charset val="134"/>
      </rPr>
      <t xml:space="preserve">
- Shuttle integration: Not started</t>
    </r>
  </si>
  <si>
    <t>Complete the above yard business application scenarios(H8).</t>
    <phoneticPr fontId="25" type="noConversion"/>
  </si>
  <si>
    <t>1. Three zones remain (OTD, VPL, VVPL) — we dont have enough staff on site to coordinate with operations for confirmation.
2. Continuous integration progress with Marco’s quadruped robot development team.
3. Whether the shuttle (yard goat) can be integrated.It needs verified by on site staff.</t>
    <phoneticPr fontId="25" type="noConversion"/>
  </si>
  <si>
    <t>Activation provisioner assigned / router delivery pending; month-end target at risk</t>
  </si>
  <si>
    <t>TBD - router delivery and provider activation; current target may slip about one week</t>
  </si>
  <si>
    <t>Activate the permanent AT&amp;T circuit and remove dependence on temporary connectivity after controlled technical and business validation.</t>
  </si>
  <si>
    <t>The carrier assigned an activation provisioner, but the router has not arrived. The end-of-month activation target is at risk and may slip by approximately one week; a revised confirmed date was not provided. Temporary equipment at 6150 LaGrange may be reused only as a contingency after Atlanta activation.</t>
  </si>
  <si>
    <t>Obtain router shipment and delivery dates; secure a confirmed activation and onsite cutover schedule; complete cabling, firewall, routing, Wi-Fi, application, performance, failover, and user tests; document acceptance before removing temporary service.</t>
  </si>
  <si>
    <t>David Rodriguez / Huy / Erik Solis / Network Engineering / AT&amp;T / Atlanta Operations / Robert Moreno</t>
  </si>
  <si>
    <t>Router delivery and an unconfirmed provider date can delay cutover. Reusing temporary equipment before permanent service acceptance could create a second outage.</t>
  </si>
  <si>
    <t>Escalate the router ETA and revised carrier commitment. Keep temporary connectivity in service until signed operational acceptance.</t>
  </si>
  <si>
    <t>ISP Notes, 16-Oct-2026 PST; IT Infrastructure Update email, 14-Oct-2026 PST.</t>
  </si>
  <si>
    <t>Ongoing / activations, site visits, billing disputes, disconnects, and returns remain open</t>
  </si>
  <si>
    <t>TBD - by site and carrier confirmation</t>
  </si>
  <si>
    <t>Optimize the carrier portfolio by completing activations, cutovers, disconnects, site assessments, equipment returns, billing corrections, and inventory reconciliation with auditable closure evidence.</t>
  </si>
  <si>
    <t>City Park Loop had a power-outage ticket last week and no current-week incident. Atlanta awaits router delivery. Charleston 1301 was reported offline from 14-Oct, while its 1-Nov disconnect and any month-to-month extension remain unconfirmed. Onsite work is still required at 6150 LaGrange, 6200 St. Johns, and 1228 Cornerway. Production Avenue billing, Buena Park modem return, Norcross disconnect, Douglasville modem return, Goodyear disconnect, and Angola Frontier-equipment recovery remain open.</t>
  </si>
  <si>
    <t>Verify the ISP master record and addresses; assign David/Huy onsite dates; confirm Atlanta activation; verify whether 1301 remains needed before any extension; close each billing dispute, disconnect, and equipment return with written carrier evidence, tracking, final invoices, and Accounting validation.</t>
  </si>
  <si>
    <t>Robert Moreno / Erik Solis / David Rodriguez / Huy / Network Engineering / Site Operations / Accounting / Carrier Teams</t>
  </si>
  <si>
    <t>Unconfirmed dates, ambiguous site records, missing return evidence, disputed charges, and premature disconnections may create outages, collections activity, non-return fees, or recurring cost.</t>
  </si>
  <si>
    <t>Review open carrier items weekly. Do not approve disputed fees or close any site without verified address, service need, carrier confirmation, equipment disposition, and final-bill reconciliation.</t>
  </si>
  <si>
    <t>Additional rear-area AP installed / map, site confirmation, and testing evidence pending</t>
  </si>
  <si>
    <t>TBD - after map, test schedule, and user/device validation</t>
  </si>
  <si>
    <t>Complete the Alessandro wireless remediation and validate reliable coverage for warehouse operations, operational devices, and planned office occupancy.</t>
  </si>
  <si>
    <t>David reported that an additional AP was installed in the rear area and testing was tentatively planned for 15-16 Oct. Mahan did not have the updated AP map and could not confirm the site, completed AP count, or test results. Second-floor requirements and office workstation count/move date remain open.</t>
  </si>
  <si>
    <t>David to confirm site, final AP count, installation completion, and final map. Mahan to confirm the test schedule, survey all critical zones and devices, validate second-floor needs, and document results and user acceptance. Confirm workstation count and office move date.</t>
  </si>
  <si>
    <t>Missing map and test evidence may conceal coverage gaps; unclear office scope may cause rework or delay occupancy.</t>
  </si>
  <si>
    <t>Keep Amber until the installation record, map, RF/device tests, second-floor scope, and Operations acceptance are complete.</t>
  </si>
  <si>
    <t>IT Network Team Meeting Notes, 16-Oct-2026 PST; IT Infrastructure Update email, 14-Oct-2026 PST.</t>
  </si>
  <si>
    <t>Walnut Wi-Fi Correction, Mac Roaming &amp; Failover Validation</t>
  </si>
  <si>
    <t>SSID corrected / Mac roaming investigation and failover evidence pending</t>
  </si>
  <si>
    <t>TBD - after onsite reproduction and evidence-based failover validation</t>
  </si>
  <si>
    <t>Provide stable Walnut Wi-Fi roaming for affected Mac users and validate WAN failover under representative business load before occupancy.</t>
  </si>
  <si>
    <t>Two first-floor APs were corrected to broadcast LT Office. Kuan and Christine continue to report frequent or intermittent MacBook Pro roaming/connection issues near Christine’s office while Windows users appear unaffected. No onsite observation is documented. Failover reportedly worked, but test date, interruption, applications, and load were not recorded.</t>
  </si>
  <si>
    <t>Observe the issue onsite with the affected Macs; capture client/AP/controller logs; validate SSID, band, roaming, authentication, DHCP/DNS, and RF behavior; apply and retest changes. Repeat and document failover with representative applications, load, duration, and user acceptance.</t>
  </si>
  <si>
    <t>Mahan Sasani / Jerimar Castaneda / Kuan Goh / Christine / Network Engineering / Walnut Users</t>
  </si>
  <si>
    <t>An Apple-specific roaming issue or configuration drift may persist unnoticed. An undocumented failover test does not prove production readiness.</t>
  </si>
  <si>
    <t>Require reproducible evidence, corrective-action records, affected-user acceptance, and a documented failover test before closure.</t>
  </si>
  <si>
    <t>BP Relocation Notes, 13-Oct-2026 PST; prior Walnut Wi-Fi record.</t>
  </si>
  <si>
    <t>Joliet Fiber, IDF, Wireless &amp; Workstation Readiness</t>
  </si>
  <si>
    <t>Stations 8-14 wired and more stable / remaining wiring, RAM upgrades, and Wi-Fi validation open</t>
  </si>
  <si>
    <t>2026-10-13</t>
  </si>
  <si>
    <t>TBD - after remaining wiring, upgrades, scanner tests, and Operations acceptance</t>
  </si>
  <si>
    <t>Stabilize Joliet warehouse processing through wired workstation connectivity, right-sized endpoints, adequate switch capacity, and validated Wi-Fi coverage for mobile devices.</t>
  </si>
  <si>
    <t>A new 24-port server-room switch was installed and the removed 16-port switch is planned for the drop-ship area. Stations 8-14 were hardwired and users reported improved stability. Stations 1, 3, 4, 7, 12, 13, and 14 need RAM review or upgrade; Station 14 is priority. Station 8 replacement/reassessment remains open. Wi-Fi issues remain in aisles 32-34, 46-50, and 61, and some stations lack antennas.</t>
  </si>
  <si>
    <t>Complete and validate wired connections for Stations 1-7; confirm application access, printing, and stability with Operations. Reassess or replace Station 8. Finalize RAM quantities, stock, cost, and installation dates; prioritize Station 14. Test mobile scanners and coverage in affected aisles. Network Support to validate switch configuration, uplinks, and ports. Produce one action/owner/date/cost/blocker list.</t>
  </si>
  <si>
    <t>David Rodriguez / Javier Montane / Steven Garcia / Network Support / Joliet Operations / Robert Moreno</t>
  </si>
  <si>
    <t>Open workstation hardware, missing antennas, reused-switch capacity, and unresolved aisle coverage may continue operational instability. Costs and installation dates are not confirmed.</t>
  </si>
  <si>
    <t>Maintain Amber until all active stations are validated on wired LAN, priority hardware is remediated, scanner/Wi-Fi testing is complete, and Operations signs off. Require IT review before new floor equipment is deployed.</t>
  </si>
  <si>
    <t>Joliet Network, Wi-Fi &amp; Workstation Assessment email thread, latest 16-Oct-2026 PST.</t>
  </si>
  <si>
    <t>Walnut/LAX placement model proposed / inventory, capacity, and migration approval gates remain</t>
  </si>
  <si>
    <t>TBD - after inventory, destination, power, cooling, and LAX capacity decisions</t>
  </si>
  <si>
    <t>Relocate Buena Park infrastructure to approved Walnut and LAX destinations without service loss, unsupported dependencies, or premature facilities work.</t>
  </si>
  <si>
    <t>The working direction is to retain DC/BDC, CCTV where required, and selected GPU or tower systems locally, while moving file, development, application, database, Hyper-V, and associated storage workloads to LAX subject to validation. The inventory lists R&amp;D 10, Accounting 5 cluster servers, David Agustin 8, HR 1, and IT 3 physical servers. Five mini-PC owners remain unidentified. Final placement is not approved because workload purpose, dependencies, rack fit, and destination capacity remain incomplete.</t>
  </si>
  <si>
    <t>Complete the authoritative server inventory and ownership/dependency map; group Hyper-V hosts, VMs, TrueNAS, backup, and storage; identify the five mini-PC owners; resolve CCTV and historical-retention needs; confirm David Agustin workloads; validate Walnut and LAX power, cooling, racks, network, access, and support; present final placement, budget, sequencing, rollback, and outage plan for leadership approval.</t>
  </si>
  <si>
    <t>Stacy Nguyen / Tom Yu / Mahan Sasani / David Rodriguez / Yangyang Yang / Robert Moreno / Server and Application Owners / Network Engineering / Facilities</t>
  </si>
  <si>
    <t>Incomplete workload and dependency data may cause incorrect placement, outage, data-loss, power/cooling shortfall, or repeated moves. LAX capacity and Walnut readiness are not fully verified.</t>
  </si>
  <si>
    <t>Do not schedule server moves until the inventory, destination design, capacity, dependency, backup, and recovery evidence are approved. Maintain one controlled migration plan across Walnut and LAX.</t>
  </si>
  <si>
    <t>BP Relocation Notes, 13-Oct-2026 PST; LAX Data Center Access and Capacity Assessment email thread, latest 16-Oct-2026 PST; IT Infrastructure Update email, 14-Oct-2026 PST.</t>
  </si>
  <si>
    <t>Local Server, Hyper-V &amp; UNISCO.com Infrastructure Handoff</t>
  </si>
  <si>
    <t>Inventory and dependency review expanded / owner decisions and capacity evidence pending</t>
  </si>
  <si>
    <t>TBD - after technical and business-owner review</t>
  </si>
  <si>
    <t>Create an authoritative handoff for physical servers, Hyper-V hosts and VMs, TrueNAS, backups, application ownership, and UNISCO.com infrastructure before relocation or retirement decisions.</t>
  </si>
  <si>
    <t>Yangyang is leading a comprehensive Hyper-V inventory and capacity review with Mahan support. Required data include hosts, VMs, current and peak CPU/memory/storage, placements, growth, critical workloads, offline VMs, and BP migration impact. Offline VM retain/archive/retire decisions and TrueNAS/backup dependencies remain open.</t>
  </si>
  <si>
    <t>Complete host/VM/storage inventory; document peak utilization, owners, purpose, dependencies, retention, backups, recovery, and growth; group each host with its VMs and storage; classify offline VMs; review findings with business owners; approve retain, migrate, rebuild, archive, or retire actions; update the handoff record.</t>
  </si>
  <si>
    <t>Yangyang Yang / Mahan Sasani / Robert Moreno / Server and Application Owners / Infrastructure / Security / Backup Teams</t>
  </si>
  <si>
    <t>Unknown dependencies, offline-VM retention needs, and unverified peak capacity could cause outage, data loss, or under-sized target infrastructure.</t>
  </si>
  <si>
    <t>Require owner-approved disposition and dependency evidence for every server and VM before migration or deletion.</t>
  </si>
  <si>
    <t>IT Network Team Meeting Notes, 16-Oct-2026 PST; BP Relocation Notes, 13-Oct-2026 PST.</t>
  </si>
  <si>
    <t>Power-panel upgrade approved by ITEM and Cubework / vendor start and detailed schedule pending</t>
  </si>
  <si>
    <t>TBD - quoted installation duration is five days after authorized start</t>
  </si>
  <si>
    <t>Deliver approved Walnut electrical, rack, UPS, cooling, and facilities capacity for the validated local server scope.</t>
  </si>
  <si>
    <t>The approximately $12,000 power-panel quote and five-day installation duration were documented. Tom approved the upgrade on 14-Oct, Cubework approval followed on 16-Oct, and Jorge will contact the vendor to start the process. Final start/completion dates are not confirmed. The rack plan still requires reconciliation between an earlier two-rack assumption and a design using one UPS plus four full racks; Stimson UPS and three empty-rack transfer timing is pending.</t>
  </si>
  <si>
    <t>Jorge to obtain the vendor start date and completion plan. Mahan and David to confirm the final placement list, rack count, room fit, cooling, power loads, cabling, transfer schedule for Stimson UPS/racks, outage controls, inspection, and acceptance criteria. Update the approved scope and migration dependencies.</t>
  </si>
  <si>
    <t>Tom Yu / Jorge Reyes / Kuan Goh / Mahan Sasani / David Rodriguez / Stacy Nguyen / Robert Moreno / Cubework / Vendor / Facilities / Network Team</t>
  </si>
  <si>
    <t>Approval does not confirm room fit, final rack count, load capacity, cooling, or execution dates. Delayed facilities work may block the migration.</t>
  </si>
  <si>
    <t>Track the vendor commitment as a critical dependency. Do not install equipment until final rack, load, cooling, and safety validation is signed off.</t>
  </si>
  <si>
    <t>Additional AP reported installed / verified map and completed test record pending</t>
  </si>
  <si>
    <t>TBD - after map publication and validation</t>
  </si>
  <si>
    <t>Maintain a verified AP inventory and floor map that supports installation, testing, troubleshooting, and acceptance.</t>
  </si>
  <si>
    <t>David reported installation of an additional rear-area AP and tentative testing on 15-16 Oct. Mahan did not have the updated map and could not verify the completed AP count, site, or test status.</t>
  </si>
  <si>
    <t>David to publish the final map, AP names, locations, completed count, and installation evidence. Mahan to reconcile controller inventory to the map and document RF/device test results, remaining gaps, and acceptance.</t>
  </si>
  <si>
    <t>David Rodriguez / Mahan Sasani / Jerimar Castaneda / Network Engineering / Alessandro Operations</t>
  </si>
  <si>
    <t>An inaccurate map or count can hide missing devices, misdirect troubleshooting, and invalidate survey results.</t>
  </si>
  <si>
    <t>Require controller-to-map reconciliation and documented tests before backlog closure.</t>
  </si>
  <si>
    <t>1701 network restored; CCTV validation and 1301 service decision pending</t>
  </si>
  <si>
    <t>2026-11-01 for 1301 disconnect unless business need requires approved extension</t>
  </si>
  <si>
    <t>Complete the 1701 transition and retire 1301 service without disrupting network, CCTV, or remaining operations.</t>
  </si>
  <si>
    <t>Jerimar corrected the 1701 CCTV VLAN and reported the network working. Camera/NVR validation remains open. The 1301 circuit is scheduled to disconnect 1-Nov and is month-to-month; Jerimar reported the site offline since 14-Oct and believes Operations moved, but business need and any extension decision are unverified. Physical decommission was reported complete.</t>
  </si>
  <si>
    <t>David and Jerimar to validate 1701 camera/NVR operation and close remaining items. Verify with Operations whether 1301 has any continuing dependency; if none, confirm disconnect and return equipment; if needed, obtain an approved month-to-month extension before 1-Nov.</t>
  </si>
  <si>
    <t>David Rodriguez / Jerimar Castaneda / Erik Solis / Charleston Operations / Network Engineering / Carrier / Robert Moreno</t>
  </si>
  <si>
    <t>Unverified CCTV or an incorrect 1301 service assumption could cause monitoring loss, service interruption, or unnecessary recurring cost.</t>
  </si>
  <si>
    <t>Obtain Operations confirmation and carrier evidence before the 1-Nov disconnect; keep 1701 open until camera/NVR acceptance.</t>
  </si>
  <si>
    <t>Carrier ready / onsite assignment and date pending</t>
  </si>
  <si>
    <t>TBD - after David/Huy dispatch and acceptance</t>
  </si>
  <si>
    <t>Complete the MPOE relocation and validate production connectivity at St. Johns.</t>
  </si>
  <si>
    <t>Carrier readiness is understood, but the required onsite visit, assigned technician, date, and acceptance record were not confirmed. David or Huy is expected to support the work.</t>
  </si>
  <si>
    <t>Assign David or Huy; confirm access and carrier window; complete cabling and cutover; validate routing, firewall, Wi-Fi, applications, failover, and user acceptance; document closure.</t>
  </si>
  <si>
    <t>David Rodriguez / Huy / Erik Solis / Network Engineering / St. Johns Operations / Carrier</t>
  </si>
  <si>
    <t>An unassigned onsite visit may delay cutover and prolong recurring or temporary-service cost.</t>
  </si>
  <si>
    <t>Set a dated field-work commitment and carrier escalation path.</t>
  </si>
  <si>
    <t>ISP Notes, 16-Oct-2026 PST.</t>
  </si>
  <si>
    <t>Circuit installed / onsite assignment and cutover date pending</t>
  </si>
  <si>
    <t>Cut over the installed circuit and validate production service at Cornerway.</t>
  </si>
  <si>
    <t>The circuit is installed, but the required onsite visit, technician assignment, cutover date, and acceptance evidence remain open. David or Huy is expected to support the work.</t>
  </si>
  <si>
    <t>Assign David or Huy; confirm site access and carrier support; complete physical cutover; test routing, firewall, Wi-Fi, applications, performance, failover, and user experience; document acceptance and retire superseded service.</t>
  </si>
  <si>
    <t>David Rodriguez / Huy / Erik Solis / Network Engineering / Cornerway Operations / Carrier</t>
  </si>
  <si>
    <t>Delayed onsite work may postpone service use and extend duplicate billing.</t>
  </si>
  <si>
    <t>Confirm the field date and do not retire old service before validated acceptance.</t>
  </si>
  <si>
    <t>Production Avenue Fontana ETF &amp; Billing Recovery</t>
  </si>
  <si>
    <t>Billing dispute ongoing / escalation remains open</t>
  </si>
  <si>
    <t>TBD - after written credit and final invoice reconciliation</t>
  </si>
  <si>
    <t>Recover improper charges and close the disconnected Production Avenue service with accurate billing evidence.</t>
  </si>
  <si>
    <t>The AT&amp;T billing dispute remains open and escalated. No written resolution, credit amount, or final reconciled invoice was provided.</t>
  </si>
  <si>
    <t>Maintain escalation; obtain written carrier findings and credit commitment; reconcile final invoices with Accounting; retain disconnect and adjustment evidence; close only after the ledger is corrected.</t>
  </si>
  <si>
    <t>Erik Solis / Robert Moreno / Accounting / AT&amp;T / Site Owner</t>
  </si>
  <si>
    <t>Unresolved charges may continue or be paid incorrectly; incomplete evidence may weaken recovery.</t>
  </si>
  <si>
    <t>AP should hold disputed amounts under approved process until carrier and Accounting reconciliation is complete.</t>
  </si>
  <si>
    <t>Carrier contact unresponsive / Robert follow-up required</t>
  </si>
  <si>
    <t>TBD - after carrier response, disconnect confirmation, and billing reconciliation</t>
  </si>
  <si>
    <t>Complete the Norcross circuit disconnect and resolve related charges with written carrier evidence.</t>
  </si>
  <si>
    <t>The 1600 Indian Brook record references an unclear carrier/service term and the contact remains unresponsive. Robert is to follow up. Address and service-record verification remain necessary.</t>
  </si>
  <si>
    <t>Verify the exact site address, circuit, account, and carrier reference; escalate to an alternate carrier contact; confirm disconnect effective date, equipment return, ETF position, and final invoice; reconcile with Accounting.</t>
  </si>
  <si>
    <t>Robert Moreno / Erik Solis / Accounting / AT&amp;T / Norcross Operations</t>
  </si>
  <si>
    <t>Unresponsive contacts and ambiguous service records may extend billing or lead to action on the wrong circuit.</t>
  </si>
  <si>
    <t>Escalate through the carrier hierarchy and require record validation before financial or disconnect closure.</t>
  </si>
  <si>
    <t>Modem reportedly at LaGrange / onsite transfer and UPS return evidence pending</t>
  </si>
  <si>
    <t>TBD - after field pickup, shipment, and carrier acceptance</t>
  </si>
  <si>
    <t>Return the disconnected-site equipment and eliminate non-return exposure with auditable shipping evidence.</t>
  </si>
  <si>
    <t>The modem associated with the Douglasville service was reportedly moved to LaGrange. The onsite technician is expected to take it for UPS return, but assignment, pickup, label, tracking, and carrier acceptance are not documented.</t>
  </si>
  <si>
    <t>Confirm the modem serial and current location; assign the onsite technician; obtain the return label; ship via UPS; retain tracking and delivery proof; confirm carrier receipt and final billing.</t>
  </si>
  <si>
    <t>David Rodriguez / Huy / Erik Solis / LaGrange Operations / AT&amp;T / Robert Moreno</t>
  </si>
  <si>
    <t>Misidentified or untracked equipment may trigger a non-return fee or leave the wrong asset onsite.</t>
  </si>
  <si>
    <t>Require serial-number reconciliation and tracking before closure.</t>
  </si>
  <si>
    <t>Disconnect processing ongoing / effective date and final invoice pending</t>
  </si>
  <si>
    <t>TBD - after Cox confirmation and billing closure</t>
  </si>
  <si>
    <t>Complete the Cox disconnect and close equipment and billing obligations.</t>
  </si>
  <si>
    <t>The Goodyear disconnect remains in progress. No confirmed effective date, equipment-return status, or final invoice was provided.</t>
  </si>
  <si>
    <t>Obtain the Cox order and effective date; confirm equipment disposition; retain carrier confirmation; reconcile the final invoice and recurring-charge stop with Accounting.</t>
  </si>
  <si>
    <t>Stacy Nguyen / David Rodriguez / Erik Solis / Cox / Accounting / Goodyear Operations</t>
  </si>
  <si>
    <t>Carrier processing delay or missing equipment evidence may extend charges or create non-return fees.</t>
  </si>
  <si>
    <t>Track through written disconnect acceptance and final-bill reconciliation.</t>
  </si>
  <si>
    <t>Site assessment and expansion/pricing validation pending / one rack reported available</t>
  </si>
  <si>
    <t>TBD - before migration and procurement approval</t>
  </si>
  <si>
    <t>Determine whether LAX can host the approved Buena Park workloads with sufficient rack, power, cooling, connectivity, access, support, expansion, and commercial terms.</t>
  </si>
  <si>
    <t>Mahan reported one rack currently available, while meeting notes cite unverified usable estimates of 10U, 12U, 20U, or half-rack capacity. Existing capacity appears insufficient for all candidate servers. An onsite visit and complete capacity/pricing assessment were not confirmed. Cubework and ITEM approvals for the separate Walnut power-panel work are complete.</t>
  </si>
  <si>
    <t>Schedule Mahan’s onsite visit; open/track M-Theory access; measure usable rack units and physical fit; validate power circuits, UPS, cooling, network, firewall/routing, access, support, migration lead times, expansion options, pricing, contract terms, and required resources. Compare results to the approved workload inventory and present a recommendation.</t>
  </si>
  <si>
    <t>Mahan Sasani / Robert Moreno / Tom Yu / Stacy Nguyen / Network Engineering / Server Owners / M-Theory / LAX Data Center Owner</t>
  </si>
  <si>
    <t>Conflicting capacity estimates, inadequate space, unclear pricing, or insufficient power/cooling/connectivity could invalidate the proposed hosting model and delay relocation.</t>
  </si>
  <si>
    <t>Treat the onsite capacity assessment as a critical decision gate. Do not procure or schedule migration until measured capacity and commercial terms are approved.</t>
  </si>
  <si>
    <t>Pre-staging concept approved in principle / final destinations and capacity evidence pending</t>
  </si>
  <si>
    <t>TBD - aligned to approved Walnut and LAX readiness dates</t>
  </si>
  <si>
    <t>Preconfigure and validate target network, compute, storage, security, and application connectivity before relocation to minimize downtime and rollback risk.</t>
  </si>
  <si>
    <t>Switch pre-staging is supported, but final placement, Hyper-V capacity, TrueNAS dependencies, LAX capacity, Walnut rack/power/cooling, five mini-PC owners, and migration sequence remain unresolved. No controlled test or rollback evidence has been documented.</t>
  </si>
  <si>
    <t>After destination approval, pre-stage switches, VLANs, routing, IPs, firewall rules, storage paths, monitoring, backups, and access. Validate domain, application, database, file, CCTV, VPN, and Accounting connectivity; define outage windows, sequence, rollback, acceptance, and ownership; rehearse high-risk moves.</t>
  </si>
  <si>
    <t>Mahan Sasani / David Rodriguez / Yangyang Yang / Network Engineering / Server and Application Owners / Security / Backup / Robert Moreno</t>
  </si>
  <si>
    <t>Pre-staging against an unapproved or under-sized destination can cause rework. Missing dependency and rollback tests may extend downtime or cause data loss.</t>
  </si>
  <si>
    <t>Authorize build only after destination and capacity gates; require evidence-based technical and business acceptance before each cutover.</t>
  </si>
  <si>
    <t>BP Relocation Notes, 13-Oct-2026 PST; IT Network Team Meeting Notes, 16-Oct-2026 PST; IT Infrastructure Update email, 14-Oct-2026 PST.</t>
  </si>
  <si>
    <t>Late-16-Oct target / site reference and completion evidence pending</t>
  </si>
  <si>
    <t>TBD - confirm late-Friday 16-Oct target outcome</t>
  </si>
  <si>
    <t>Complete the infrastructure decommission while protecting any remaining client dependency and closing assets, circuits, and billing.</t>
  </si>
  <si>
    <t>The 14-Oct email targeted decommissioning for late Friday 16-Oct and requested confirmation of the site reference and completion. The earlier portfolio record noted one client onsite. No completion evidence, remaining dependency list, asset recovery, carrier return, or billing closure was supplied.</t>
  </si>
  <si>
    <t>Confirm the correct site reference and actual 16-Oct outcome; verify client exit/dependencies; inventory and recover network, server, camera, access, and power assets; disconnect/return carrier equipment; update records; validate final billing and Operations acceptance.</t>
  </si>
  <si>
    <t>An incorrect site reference or premature removal may disrupt a remaining client; incomplete asset and billing closure may create loss or recurring cost.</t>
  </si>
  <si>
    <t>Require documented dependency clearance, asset reconciliation, carrier evidence, and final site acceptance.</t>
  </si>
  <si>
    <t>IT Infrastructure Update email, 14-Oct-2026 PST; existing portfolio record.</t>
  </si>
  <si>
    <t>Hyper-V Capacity, VM Inventory &amp; Legacy Host Remediation</t>
  </si>
  <si>
    <t>Assessment in progress / utilization, offline-VM disposition, and legacy-host migration decision pending</t>
  </si>
  <si>
    <t>2026-10-16</t>
  </si>
  <si>
    <t>TBD - before BP migration or legacy-host workload move</t>
  </si>
  <si>
    <t>Establish measured Hyper-V capacity and a safe remediation plan for saturated hosts, offline VMs, and the legacy server with BIOS errors.</t>
  </si>
  <si>
    <t>A LAX Hyper-V host experienced CPU saturation that affected the UniFi VM interface; allocations were adjusted, but the bottleneck and change details are not documented. A legacy server shows BIOS errors before Windows. Moving workloads to a host referred to as A4 is proposed but the destination name, capacity, workload scope, timing, and impact are unconfirmed.</t>
  </si>
  <si>
    <t>Yangyang to lead the host/VM inventory with Mahan support: capture current and peak CPU, memory, storage, placements, criticality, growth, and BP migration demand. Document the allocation changes and root cause. Assign owners and disposition for offline VMs. Capture BIOS errors and hardware/storage logs; verify backups and target-host capacity; approve reservations, dedicated-host needs, and a controlled workload migration with rollback.</t>
  </si>
  <si>
    <t>Yangyang Yang / Mahan Sasani / Robert Moreno / Network Support / Infrastructure / Application Owners / Backup Team</t>
  </si>
  <si>
    <t>CPU saturation can impair critical management services. BIOS faults and an unverified target host create outage and data-loss risk; offline VMs may have unknown retention or business dependencies.</t>
  </si>
  <si>
    <t>Red until critical workload capacity and legacy-host risk are contained. Require measured peak-capacity evidence, backup validation, approved target host, migration plan, and post-change testing before relocation.</t>
  </si>
  <si>
    <t>Stimson Supermicro Server, DNS &amp; VPN Health Validation</t>
  </si>
  <si>
    <t>Server restored / hardware, VM, backup, replication, VPN, and certificate validation pending</t>
  </si>
  <si>
    <t>2026-10-14</t>
  </si>
  <si>
    <t>TBD - after joint technical validation and workload-move recommendation</t>
  </si>
  <si>
    <t>Validate the restored Stimson server and dependent DNS, domain-controller, VPN, storage, and application services; determine whether critical workloads must move.</t>
  </si>
  <si>
    <t>The Supermicro server is back online and Riverside users checked by Armin could access applications. Hardware condition remains unknown; BIOS evidence and onsite findings were not shared. Temporary VPN accounts were created during the incident. VM health, hardware/storage logs, backups, domain-controller replication, VPN authentication, and Hikvision certificate errors remain unvalidated.</t>
  </si>
  <si>
    <t>Mahan to share BIOS errors and onsite findings. Mahan, Billy, and Jerimar to work with Yangyang on VM health, hardware/storage logs, backup recovery, DC replication, VPN authentication, temporary-account disposition, and workload-move recommendation. Follow up with China engineering on Hikvision certificate errors and service impact.</t>
  </si>
  <si>
    <t>Mahan Sasani / Yangyang Yang / Billy Rivas / Jerimar Castaneda / Armin Guevarra / China Engineering / Robert Moreno</t>
  </si>
  <si>
    <t>A restored service may fail again if underlying hardware, storage, replication, backup, VPN, or certificate issues persist. Temporary accounts may remain unmanaged.</t>
  </si>
  <si>
    <t>Maintain Red until the root cause and hardware condition are understood, identity and recovery controls are validated, and critical workloads have an approved hosting plan.</t>
  </si>
  <si>
    <t>IT Infrastructure Update email, 14-Oct-2026 PST; IT Network Team Meeting Notes, 16-Oct-2026 PST.</t>
  </si>
  <si>
    <t>Tenant Wi-Fi PPSK and VLAN Governance</t>
  </si>
  <si>
    <t>Technical pattern tested / ownership, approval, lifecycle, and isolation validation pending</t>
  </si>
  <si>
    <t>TBD - after governance approval and controlled validation</t>
  </si>
  <si>
    <t>Provide tenant Wi-Fi using unique PPSKs and VLAN isolation with accountable approval, credential lifecycle, access control, and evidence-based testing.</t>
  </si>
  <si>
    <t>The shared SSID CW tenants is designed to use one unique PPSK per tenant mapped to a VLAN. Cross-VLAN isolation is intended, while same-VLAN devices can communicate. The approach was previously tested. QBerg/Qbert was believed to handle passwords; Jerimar can create them using 1Password and UniFi. The configuration standard exists but was not attached to the meeting record.</t>
  </si>
  <si>
    <t>Jerimar to share the configuration standard. Assign the service owner and approver; define who creates, distributes, stores, rotates, revokes, and audits keys; verify tenant-to-VLAN mapping, firewall policy, cross-tenant isolation, same-tenant behavior, logging, onboarding/offboarding, and support. Conduct a controlled validation and retain results.</t>
  </si>
  <si>
    <t>Jerimar Castaneda / QBerg-Qbert Team / Network Engineering / Security / Tenant Operations / Robert Moreno</t>
  </si>
  <si>
    <t>Unclear key ownership or unverified isolation can cause unauthorized tenant access, credential leakage, inconsistent offboarding, and audit gaps.</t>
  </si>
  <si>
    <t>Approve the governance model and complete current isolation testing before additional tenant onboarding.</t>
  </si>
  <si>
    <t>IT Network Team Meeting Notes, 16-Oct-2026 PST.</t>
  </si>
  <si>
    <t>The PH team has joined the sample screening and annotation process, resulting in improved visual model accuracy. Additional samples continue to be collected and annotated. The user manual has been published, while the training video is still pending. One exterior camera installation also remains pending.</t>
  </si>
  <si>
    <t>Continue expanding the sample dataset and improving model accuracy. Follow up on the training video and installer ETA, complete the remaining exterior camera installation, and continue the Speaker TTS and warning-light integration.</t>
  </si>
  <si>
    <t>Remaining installation, training-video delivery, and model optimization may require additional coordination.</t>
  </si>
  <si>
    <t>Continue monitoring sample development, model accuracy, training-video delivery, and installation readiness.</t>
  </si>
  <si>
    <t>The PH team is supporting sample screening and annotation. The user manual is available, but the training video has not yet been received.</t>
  </si>
  <si>
    <t>Procurement requirements have been confirmed, and the installation team has started installing the equipment at the designated locations.</t>
  </si>
  <si>
    <t>Complete the remaining equipment installation according to the SOP, verify the hardware configuration, and proceed with system testing and activation.</t>
  </si>
  <si>
    <t>Installation and system activation may require additional coordination and adjustment.</t>
  </si>
  <si>
    <t>Continue monitoring installation progress and testing readiness.</t>
  </si>
  <si>
    <t>On-site equipment installation is in progress.</t>
  </si>
  <si>
    <t>Updated the navigation workflow to reduce instances where the AGV is unable to return to the charging station. Testing and optimization continue in active aisles. The team is also evaluating the performance of a new LiDAR solution.</t>
  </si>
  <si>
    <t>Continue validating the updated return-to-charge workflow, optimize navigation and localization performance, evaluate the new LiDAR, and gradually expand operation to additional aisles.</t>
  </si>
  <si>
    <t>Navigation reliability and new LiDAR performance may require further validation.</t>
  </si>
  <si>
    <t>Continue monitoring return-to-charge reliability, field-test results, and LiDAR evaluation progress.</t>
  </si>
  <si>
    <t>The updated workflow is designed to improve return-to-charge reliability. New LiDAR research and testing are in progress.</t>
  </si>
  <si>
    <t>Dock Vision Forklift In/Out (Single-Camera Demo) – Ontario</t>
  </si>
  <si>
    <t>Develop a single-camera demonstration to count forklift pallet movements in and out of the dock and verify whether truck rain-curtain securing straps are properly positioned during loading.</t>
  </si>
  <si>
    <t>Completed the site survey and generated initial detection results using the existing camera. The current demonstration provides preliminary forklift movement, pallet-counting, and securing-strap status results.</t>
  </si>
  <si>
    <t>Continue collecting and annotating samples, refine the visual model, and improve detection and counting accuracy under the single-camera setup.</t>
  </si>
  <si>
    <t>Single-camera coverage and available sample diversity may require additional model adjustment.</t>
  </si>
  <si>
    <t>Continue monitoring sample collection, model accuracy, and demonstration readiness.</t>
  </si>
  <si>
    <t>Initial results have been generated using the existing Ontario dock camera.</t>
  </si>
  <si>
    <t>AGV Inventory Count – Joliet</t>
  </si>
  <si>
    <t>Prepare and deploy four AGVs to support automated inventory counting at the Joliet facility.</t>
  </si>
  <si>
    <t>Delivered the procurement list and assembly SOP to the Implementation team and IT Helpdesk. Completed Phase I assembly for four AGVs. The remaining parts and equipment are pending arrival. Software migration to the four edge devices is also in progress.</t>
  </si>
  <si>
    <t>Complete Phase II assembly after the remaining parts arrive and finish the software migration to all four edge devices. Hand over the systems to the Implementation team for mapping training. After training, ship the AGVs to Joliet for the site survey, charging-station placement, and map creation. Review the completed map before beginning trial operations.</t>
  </si>
  <si>
    <t>Parts delivery, assembly, mapping, and on-site preparation may require additional coordination.</t>
  </si>
  <si>
    <t>Continue monitoring procurement, Phase II assembly, software migration, and Joliet site readiness.</t>
  </si>
  <si>
    <t>Phase I assembly of four AGVs has been completed. Trial operations will begin after the site map is completed and reviewed.</t>
  </si>
  <si>
    <t>Completed / controlled exceptions monitored</t>
  </si>
  <si>
    <t>Internal-only transport controls remain active. The PH/UT review confirmed 121 migrated accounts: 116 active and five blocked. Only five accounts remain permitted for external inbound and outbound email.</t>
  </si>
  <si>
    <t>Maintain the approved exception list, review the five external-enabled accounts, and include every change in operational governance.</t>
  </si>
  <si>
    <t>An unauthorized policy change could reopen external mail flow, while an incorrect restriction could block approved customer or system communication.</t>
  </si>
  <si>
    <t>No escalation required. Retain evidence for the 116 active, five blocked, and five external-enabled accounts and monitor exceptions.</t>
  </si>
  <si>
    <t>UT Support Team Individual Emails thread, updated 17-Oct-2026 PST: 121 migrated, 116 active, five blocked, and five permitted for external mail.</t>
  </si>
  <si>
    <t>Completed / ongoing governance</t>
  </si>
  <si>
    <t>Approved customer and partner domains remain supported. Five accounts are authorized for external inbound and outbound mail; six UT users were removed from the external-mail group on 16-Oct-2026 after Operations confirmed group-mail access.</t>
  </si>
  <si>
    <t>Reconcile the five authorized accounts to named business owners, validate group-mail routing, and use documented approval for future additions or removals.</t>
  </si>
  <si>
    <t>Unapproved external access could bypass ticketing; an incomplete allowlist or premature removal could interrupt customer, partner, OTP, or system traffic.</t>
  </si>
  <si>
    <t>Review the five external-enabled accounts and retain the 16-Oct removal evidence for the six UT users.</t>
  </si>
  <si>
    <t>UT Support Team Individual Emails thread, 15-17 Oct-2026 PST; six UT users removed from external access and five accounts remain externally enabled.</t>
  </si>
  <si>
    <t>Operational use confirmed / governance pending</t>
  </si>
  <si>
    <t>UT Operations confirmed the listed agents already have group-mail access. Six users were removed from external inbound and outbound access on 16-Oct-2026. Customer communications are being redirected to facility group addresses so requests create tickets and remain visible.</t>
  </si>
  <si>
    <t>Confirm all required group addresses, queue ownership, routing, replies, attachments, and urgent-request fallback; reconcile the eight names raised by Operations with the six accounts removed; then obtain operational acceptance.</t>
  </si>
  <si>
    <t>Lex Yang / Robin Zhu / Mary Smothers / Ismael Robles / Michelle Topete / Yangyang Yang / Robert Moreno</t>
  </si>
  <si>
    <t>A missing group address, incomplete roster, or untested routing path could cause missed customer communications or bypass ticket creation.</t>
  </si>
  <si>
    <t>Require evidence that every affected agent has the correct group mailbox and that the eight-name request is fully reconciled before closure.</t>
  </si>
  <si>
    <t>UT Support Team Individual Emails thread, 15-17 Oct-2026 PST; group access confirmed and six users removed from external mail.</t>
  </si>
  <si>
    <t>121 migrated / two client reconfigurations pending</t>
  </si>
  <si>
    <t>TBD - after two-user validation</t>
  </si>
  <si>
    <t>Confirm the PH/UT migration population and ensure every migrated user operates through the correct UNIS.CO identity without disrupting approved services.</t>
  </si>
  <si>
    <t>The PH/UT migration check is complete for 121 accounts: 116 are active and five are blocked. Cheenee Lim and Ralph Rana were not migrated initially and are now included in the batch; their email clients still require reconfiguration.</t>
  </si>
  <si>
    <t>Billy Rivas to help Cheenee Lim and Ralph Rana reconfigure their email clients; validate send/receive behavior and aliases; document acceptance and retain the five blocked accounts as controlled records.</t>
  </si>
  <si>
    <t>Yangyang Yang / Billy Rivas / HelpDesk / Robert Moreno</t>
  </si>
  <si>
    <t>The two newly migrated users may be unable to send or receive correctly until client reconfiguration is complete. Blocked-account status must remain intentional and documented.</t>
  </si>
  <si>
    <t>Track the two client reconfigurations to verified closure. Reconcile active, blocked, and external-enabled account lists.</t>
  </si>
  <si>
    <t>UT Support Team Individual Emails thread, updated 17-Oct-2026 PST: 121 migrated; 116 active; five blocked; Cheenee Lim and Ralph Rana require client reconfiguration.</t>
  </si>
  <si>
    <t>Phase I rollout in progress / sign-off pending</t>
  </si>
  <si>
    <t>PH/UT migration controls are operational: 121 accounts were migrated, six UT users were removed from external mail after group access was confirmed, and customer communications are being redirected to group addresses. Broader Phase II scope now includes CN members.</t>
  </si>
  <si>
    <t>Close the two client reconfigurations; approve the US, PH, and CN population; reconcile group-mail and external-access exceptions; publish the channel guide; and obtain named Operations and Customer Service acceptance.</t>
  </si>
  <si>
    <t>Robert Moreno / Stacy Nguyen / Tom Yu / Lex Yang / Yangyang Yang / Mary Smothers / Billy Rivas / Business Owners / IT</t>
  </si>
  <si>
    <t>Closing before regional scope, identity rules, shared-mail ownership, client readiness, and customer-transition evidence are complete could create hidden communication gaps.</t>
  </si>
  <si>
    <t>Treat technical migration, customer-transition readiness, and business acceptance as separate gates. Require explicit sign-off or documented exceptions.</t>
  </si>
  <si>
    <t>Phase II Account Migration and UT Support Team email threads, updated through 17-Oct-2026 PST.</t>
  </si>
  <si>
    <t>Two client reconfigurations pending</t>
  </si>
  <si>
    <t>TBD - after two-user acceptance</t>
  </si>
  <si>
    <t>The migration check confirms 121 accounts in the completed batch: 116 active and five blocked. Cheenee Lim and Ralph Rana were added after the initial migration and now require local email-client reconfiguration.</t>
  </si>
  <si>
    <t>Reconfigure the two affected clients; verify sending, receiving, calendars, mobile access, aliases, and dependent services; record HelpDesk completion and user acceptance.</t>
  </si>
  <si>
    <t>Yangyang Yang / Billy Rivas / HelpDesk / Cheenee Lim / Ralph Rana</t>
  </si>
  <si>
    <t>Incomplete client reconfiguration may cause incorrect sender presentation, failed access, duplicate support cases, or confusion over the authoritative address.</t>
  </si>
  <si>
    <t>Track both users to verified closure and retain legacy aliases unless a separately approved change removes them.</t>
  </si>
  <si>
    <t>UT Support Team Individual Emails thread, updated 17-Oct-2026 PST; two newly migrated users require client reconfiguration.</t>
  </si>
  <si>
    <t>Phase II Regional Email Migration and Ticketing Enforcement</t>
  </si>
  <si>
    <t>PH/UT verified / US-PH-CN rollout in progress</t>
  </si>
  <si>
    <t>TBD - after regional validation</t>
  </si>
  <si>
    <t>Complete Phase II across US, PH, and CN while separating internal identity, customer-facing ticketing, shared-mailbox routing, and approved external-mail exceptions.</t>
  </si>
  <si>
    <t>Tom confirmed CN members are in scope. Existing UNISCO users are to migrate to UNIS.CO; Item-only users may retain Item accounts and join UNIS.CO groups. ITEM internal communication will use itemonline.co. PH/UT verification shows 121 migrated accounts, and UT agents are moving customer traffic to group addresses.</t>
  </si>
  <si>
    <t>Finalize the US, PH, and CN roster; inventory distribution groups and members; identify system logins tied to legacy addresses; configure shared mailboxes and ticket integration; close two client reconfigurations; and validate five external-mail exceptions.</t>
  </si>
  <si>
    <t>Tom Yu / Stacy Nguyen / Lex Yang / Yangyang Yang / Veronica Serra / Billy Rivas / Robert Moreno / Regional IT</t>
  </si>
  <si>
    <t>Disabling legacy accounts before system-login review could interrupt critical access. Incomplete group and exception inventories could block legitimate traffic or bypass ticketing.</t>
  </si>
  <si>
    <t>Approve the regional roster, identity rules, system-login exceptions, group ownership, and validation evidence before final deactivation or production closure.</t>
  </si>
  <si>
    <t>Phase II Account Migration thread, 1-16 Oct-2026 PST; UT Support Team Individual Emails thread, updated 17-Oct-2026 PST.</t>
  </si>
  <si>
    <t>AGV and project materials packed for Memphis / shipment, connectivity assessment, and four-week deployment pending</t>
  </si>
  <si>
    <t>TBD - approximately four weeks after confirmed Memphis receipt and onsite start</t>
  </si>
  <si>
    <t>Deploy the barcode-camera AGV solution in Memphis, validate software and localization, complete mechanical modifications, and establish reliable network and internet service for production operation.</t>
  </si>
  <si>
    <t>Abhijeet packed the AGV and required project materials on a pallet for shipment to 4550 Quality Dr. #101, Memphis. David is coordinating UT trailer transport, including lithium-ion battery requirements; estimated transit is three to five days after departure. Abhijeet will align travel after departure and arrival are confirmed. Separate testing is required to determine whether internet congestion, Wi-Fi coverage, or roaming is affecting AGV performance. Lenovo renewal remains pending, so carrier bandwidth, price, term, and short-term alternatives must be reviewed.</t>
  </si>
  <si>
    <t>Confirm departure, tracking, Memphis delivery date, and onsite receipt. Confirm Abhijeet travel and the week-of-26-Oct support resource replacing Ramon. Mo to provide affected aisles and slowdown times. Mahan, Jerimar, and Abhijeet to test internet utilization, Wi-Fi coverage, roaming, and AGV behavior during peak operations. Jane and the carrier contact to document current bandwidth, price, contract term, and lower-cost or short-term alternatives. After receipt, execute the supplier-software, localization, mapping, mechanical, barcode-camera, network, and full-system test gates.</t>
  </si>
  <si>
    <t>Abhijeet Rathi / David Rodriguez / Miguel OchoaBello / Mahan Sasani / Jerimar Castaneda / Mo Belleza / Jane Sanchez / Memphis Operations / Network Team / Carrier-ISP Contact / Neil Zhou</t>
  </si>
  <si>
    <t>Memphis execution cannot begin until the pallet is shipped and received. Lithium-battery transport requirements, onsite support availability, travel dates, and delivery ETA remain unconfirmed. AGV slowdown may involve internet congestion, Wi-Fi coverage, roaming, or system factors. A long ISP commitment may conflict with the unsigned Lenovo renewal.</t>
  </si>
  <si>
    <t>Keep Amber until shipment and receipt are confirmed, the support schedule is staffed, and Week 1 technical gates begin. Require evidence-based network testing before purchasing additional connectivity. Favor a one-year or shorter ISP term while Lenovo renewal remains unsigned, subject to cost and service requirements.</t>
  </si>
  <si>
    <t>Memphis AGV Connectivity and Internet Options email, 15-Oct-2026 PST; Logistics Coordination Request ITS-25644 email thread, latest update 14-Oct-2026 PST; AGV Alessandro &amp; Memphis schedule previously recorded.</t>
  </si>
  <si>
    <t>Recurring errors and negative ROI confirmed / further repairs not recommended; decommissioning approval pending</t>
  </si>
  <si>
    <t>TBD - after management approval, safe decommissioning, relocation, and commercial closeout</t>
  </si>
  <si>
    <t>End the unsuccessful production trial safely, preserve records and reusable assets, resolve vendor and cost matters, and release the operating space without creating safety or support risk.</t>
  </si>
  <si>
    <t>Operations resumed use after recent maintenance to collect another data point. The container processed on 8-Oct still lost approximately $160, and the same errors recurred. September results were 13 containers, estimated robot cost of $7,220, customer billing of $5,915, and a net loss of $1,305; manual processing was estimated to produce about $2,015 in profit. XYZ advised that it will pause and remove the system and recommended no further repairs. Operations requested that the robot be moved to a corner so the space can be reclaimed.</t>
  </si>
  <si>
    <t>Obtain management approval to decommission and relocate the robot. Confirm XYZ removal responsibilities, commercial terms, cost reduction or credit discussion, data and configuration retention, safe shutdown, isolation, inventory, movement method, storage location, ownership, and disposal or reuse decision. Document final ROI, lessons learned, and Operations handback acceptance.</t>
  </si>
  <si>
    <t>Anuj Jagetia / Tom Yu / Brant Ji / Neil Zhou / Abhijeet Rathi / XYZ Robotics / Heacock Operations / Facilities / Finance / Robert Moreno</t>
  </si>
  <si>
    <t>Recurring technical failures and negative economics make further production use and repair spending unjustified. Moving unanchored robotic equipment without an approved shutdown and handling plan may create safety, asset, or liability risk. Vendor removal and financial obligations remain unclear.</t>
  </si>
  <si>
    <t>Red until management approves the disposition and XYZ confirms removal and commercial responsibilities. Stop further repair spending unless leadership approves a documented exception. Require safe isolation and relocation controls before Operations reclaims the area.</t>
  </si>
  <si>
    <t>Update Regarding XYZ Robot email thread, latest update after 8-Oct-2026 container test; September ROI: 13 containers, $7,220 estimated cost, $5,915 billing, $1,305 loss, versus approximately $2,015 manual profit.</t>
  </si>
  <si>
    <t>Correct-roller proposal awaiting signature / RMA, final cost, parts order, and execution schedule pending</t>
  </si>
  <si>
    <t>TBD - 5–6-week parts lead time after signed approval and order, then a three-day overnight execution window</t>
  </si>
  <si>
    <t>Install the correct 32NBS rollers and required sorter components, return incorrect parts, restore reliable divert performance, and control total cost and operational downtime.</t>
  </si>
  <si>
    <t>The revised proposal reflects the correct components, including the full credit for incorrectly ordered parts and no additional installation labor for the revised work. Anuj sent the correct-roller proposal to Steve for signature; the signed proposal is required before ordering and maintenance can proceed. Lafayette still must provide the RMA, return part numbers, and quantities. Original-project and final TGW freight remain unresolved, taxes are estimated, and a complete cost ceiling is not yet confirmed. A three-day overnight work plan is proposed for final alignment.</t>
  </si>
  <si>
    <t>Secure the signed proposal and issue the order. Lafayette to provide the RMA, itemized return list, part numbers, quantities, freight breakdown, tax basis, exclusions, order confirmation, and delivery dates. Confirm whether UNIS-managed freight reduces cost. Finalize the three-day after-hours schedule, downtime by activity, staffing, receiving, rollback, divert-routing tests, restart criteria, and next-shift readiness.</t>
  </si>
  <si>
    <t>Anuj Jagetia / Steve Kim / Robert Moreno / Stacy Nguyen / Henry Chacon / Lafayette Engineering / TGW / BP Operations / Finance and AP</t>
  </si>
  <si>
    <t>Unsigned approval delays the 5–6-week lead time. Missing RMA details may delay credits and returns. Unknown freight, estimated taxes, and exclusions prevent a reliable total. Peak-season timing and incomplete restart testing may extend disruption or leave divert issues unresolved.</t>
  </si>
  <si>
    <t>Treat signature, full cost confirmation, RMA, and delivery dates as approval gates. Keep Amber until parts are ordered and the outage, routing test, restart, and next-shift acceptance plan is approved. Escalate if the projected total exceeds the approved budget threshold.</t>
  </si>
  <si>
    <t>Request to Sign Proposal for Correct Rollers email, 14-Oct-2026 PST; Lafayette Conveyor Line – Divert Issue email thread through 15-Oct-2026 PST; BP Conveyor and Air Compressor scope/cost/schedule meeting invite.</t>
  </si>
  <si>
    <t>RCS demo testing complete / WCS development in progress</t>
  </si>
  <si>
    <t>WCS test target: 31-Oct-2026; U.S. arrival and deployment / commissioning remain planned for early Dec-2026</t>
  </si>
  <si>
    <t>Complete WCS development and testing, then deliver the Shelf-to-Person AGV solution for U.S. deployment and commissioning.</t>
  </si>
  <si>
    <t>Brant confirmed that Shelf-to-Person AGV Demo RCS testing is finished and WCS development is in progress. The latest explicit owner-reported completion is 65% from 12-Oct-2026; the subsequent update did not provide a revised numeric percentage. WCS testing is targeted for the end of October.</t>
  </si>
  <si>
    <t>Complete WCS development; execute and document WCS testing by 31-Oct-2026; resolve test defects; confirm shipment readiness, U.S. deployment location, site readiness, installation plan, and commissioning schedule; provide the next portfolio update by Thursday or Friday.</t>
  </si>
  <si>
    <t>Brant Ji / Neil Zhou / Abhijeet Rathi / Anuj Jagetia</t>
  </si>
  <si>
    <t>End-of-October WCS testing depends on development completion and defect resolution. The U.S. deployment location and site readiness remain subject to confirmation, and BP relocation may create avoidable relocation or recommissioning work.</t>
  </si>
  <si>
    <t>Maintain Amber until WCS testing passes and the U.S. deployment site is confirmed. Track the 31-Oct test milestone, identify support needs promptly, and reassess shipment and early-December commissioning if testing slips.</t>
  </si>
  <si>
    <t>Brant Ji WCS Engineering Project Update email thread, latest update 18-Oct-2026 PST; 65% explicitly reported 12-Oct-2026.</t>
  </si>
  <si>
    <t>Scope and commercial review scheduled / proposal, dryer decision, and final cost remain open</t>
  </si>
  <si>
    <t>TBD - after proposal review, diagnostic decision, approval, and coordinated maintenance window</t>
  </si>
  <si>
    <t>Establish the compressor and dryer condition, approve the correct maintenance or replacement scope, and complete the work with controlled cost and downtime.</t>
  </si>
  <si>
    <t>The air-compressor system proposal remains outstanding in the Lafayette thread. A dedicated review is planned to confirm the maintenance scope, included filters and materials, applicable taxes and exclusions, downtime, and whether dryer replacement is required. Dryer pricing is requested for budget planning if the need remains uncertain. The team intends to coordinate approved work with a three-day overnight window when practical.</t>
  </si>
  <si>
    <t>Obtain the latest itemized compressor and dryer proposal. Confirm equipment condition, diagnostic steps, preventive-maintenance scope, filters and materials, replacement-dryer need and price, warranties, taxes, exclusions, lead times, downtime, staffing, and next-shift readiness. Compare maintenance versus replacement, approve the selected option separately, and coordinate with conveyor work only if it reduces risk and disruption.</t>
  </si>
  <si>
    <t>Henry Chacon / Lafayette Engineering / Anuj Jagetia / Steve Kim / Robert Moreno / Stacy Nguyen / BP Operations / Facilities / Finance and AP</t>
  </si>
  <si>
    <t>The root cause, proposal, dryer requirement, complete cost, lead time, and downtime are not confirmed. Combining the scope with conveyor work before separate approval could hide accountability or delay both activities.</t>
  </si>
  <si>
    <t>Keep Amber. Require a fact-based diagnosis, itemized proposal, dryer option, full cost, and separate approval before execution. Approve combined scheduling only after both scopes and readiness criteria are complete.</t>
  </si>
  <si>
    <t>BP Conveyor and Air Compressor Maintenance scope, cost, and schedule review invite; Lafayette Conveyor Line – Divert Issue email thread through 15-Oct-2026 PST.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</si>
</sst>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mm\-yyyy"/>
  </numFmts>
  <fonts count="30">
    <font>
      <sz val="11"/>
      <color theme="1"/>
      <name val="宋体"/>
    </font>
    <font>
      <b/>
      <sz val="11"/>
      <color rgb="FFFFFFFF"/>
      <name val="Aptos"/>
    </font>
    <font>
      <sz val="11"/>
      <color rgb="FF1F1F1F"/>
      <name val="Aptos"/>
    </font>
    <font>
      <sz val="11"/>
      <color theme="1"/>
      <name val="宋体"/>
    </font>
    <font>
      <b/>
      <sz val="11"/>
      <color rgb="FF000000"/>
      <name val="Aptos"/>
    </font>
    <font>
      <b/>
      <sz val="11"/>
      <color rgb="FFFFFFFF"/>
      <name val="宋体"/>
    </font>
    <font>
      <sz val="10"/>
      <color rgb="FF000000"/>
      <name val="Arial"/>
    </font>
    <font>
      <sz val="10"/>
      <color theme="1"/>
      <name val="Arial"/>
    </font>
    <font>
      <sz val="9"/>
      <color rgb="FF1F1F1F"/>
      <name val="Times New Roman"/>
      <family val="1"/>
    </font>
    <font>
      <sz val="9"/>
      <color rgb="FF1F1F1F"/>
      <name val="Segoe UI Emoji"/>
      <family val="2"/>
    </font>
    <font>
      <b/>
      <sz val="11"/>
      <color rgb="FFFFFFFF"/>
      <name val="Aptos"/>
      <family val="2"/>
    </font>
    <font>
      <sz val="11"/>
      <color theme="1"/>
      <name val="Aptos"/>
      <family val="2"/>
    </font>
    <font>
      <sz val="11"/>
      <color rgb="FF1F1F1F"/>
      <name val="Aptos"/>
      <family val="2"/>
    </font>
    <font>
      <b/>
      <sz val="10"/>
      <color rgb="FF7F6000"/>
      <name val="Arial"/>
    </font>
    <font>
      <b/>
      <sz val="10"/>
      <color rgb="FF000000"/>
      <name val="Arial"/>
    </font>
    <font>
      <sz val="11"/>
      <color rgb="FF9C6500"/>
      <name val="Aptos"/>
    </font>
    <font>
      <b/>
      <sz val="11"/>
      <color rgb="FF7F6000"/>
      <name val="Aptos"/>
    </font>
    <font>
      <b/>
      <sz val="15"/>
      <color rgb="FFFFFFFF"/>
      <name val="Carlito"/>
      <charset val="134"/>
    </font>
    <font>
      <b/>
      <sz val="10"/>
      <color rgb="FF17365D"/>
      <name val="Carlito"/>
      <charset val="134"/>
    </font>
    <font>
      <b/>
      <sz val="10"/>
      <color rgb="FFFFFFFF"/>
      <name val="Carlito"/>
      <charset val="134"/>
    </font>
    <font>
      <sz val="9"/>
      <color rgb="FF1F1F1F"/>
      <name val="Carlito"/>
      <charset val="134"/>
    </font>
    <font>
      <b/>
      <sz val="9"/>
      <color rgb="FF006100"/>
      <name val="Carlito"/>
      <charset val="134"/>
    </font>
    <font>
      <sz val="9"/>
      <color rgb="FF1F1F1F"/>
      <name val="Segoe UI Symbol"/>
      <family val="2"/>
    </font>
    <font>
      <b/>
      <sz val="9"/>
      <color rgb="FF00B050"/>
      <name val="Carlito"/>
      <charset val="134"/>
    </font>
    <font>
      <b/>
      <sz val="11"/>
      <color rgb="FF000000"/>
      <name val="宋体"/>
    </font>
    <font>
      <sz val="11"/>
      <color rgb="FF3F3F76"/>
      <name val="Calibri"/>
      <family val="2"/>
      <scheme val="minor"/>
    </font>
    <font>
      <b/>
      <sz val="11"/>
      <color rgb="FF9C0006"/>
      <name val="Aptos"/>
    </font>
    <font>
      <b/>
      <sz val="11"/>
      <color rgb="FF9C6500"/>
      <name val="Aptos"/>
    </font>
    <font>
      <b/>
      <sz val="10"/>
      <color rgb="FF006100"/>
      <name val="Arial"/>
    </font>
    <font>
      <b/>
      <sz val="10"/>
      <color rgb="FF9C0006"/>
      <name val="Arial"/>
    </font>
  </fonts>
  <fills count="20">
    <fill>
      <patternFill patternType="none"/>
    </fill>
    <fill>
      <patternFill patternType="gray125"/>
    </fill>
    <fill>
      <patternFill patternType="solid">
        <fgColor rgb="FF1F4E78"/>
      </patternFill>
    </fill>
    <fill>
      <patternFill patternType="solid">
        <fgColor rgb="FFFFE699"/>
      </patternFill>
    </fill>
    <fill>
      <patternFill patternType="solid">
        <fgColor theme="0"/>
      </patternFill>
    </fill>
    <fill>
      <patternFill patternType="solid">
        <fgColor theme="4" tint="0.79985961485641044"/>
        <bgColor indexed="65"/>
      </patternFill>
    </fill>
    <fill>
      <patternFill patternType="solid">
        <fgColor rgb="FFE2F0D9"/>
      </patternFill>
    </fill>
    <fill>
      <patternFill patternType="solid">
        <fgColor rgb="FFFFF2CC"/>
      </patternFill>
    </fill>
    <fill>
      <patternFill patternType="solid">
        <fgColor rgb="FF17365D"/>
        <bgColor indexed="64"/>
      </patternFill>
    </fill>
    <fill>
      <patternFill patternType="solid">
        <fgColor rgb="FFD9EAF7"/>
        <bgColor indexed="64"/>
      </patternFill>
    </fill>
    <fill>
      <patternFill patternType="solid">
        <fgColor rgb="FF2F75B5"/>
        <bgColor indexed="64"/>
      </patternFill>
    </fill>
    <fill>
      <patternFill patternType="solid">
        <fgColor rgb="FFF3F8FC"/>
        <bgColor indexed="64"/>
      </patternFill>
    </fill>
    <fill>
      <patternFill patternType="solid">
        <fgColor rgb="FFC6EFCE"/>
        <bgColor indexed="64"/>
      </patternFill>
    </fill>
    <fill>
      <patternFill patternType="solid">
        <fgColor rgb="FFC6E0B4"/>
        <bgColor rgb="FF000000"/>
      </patternFill>
    </fill>
    <fill>
      <patternFill patternType="solid">
        <fgColor rgb="FFC6E0B4"/>
      </patternFill>
    </fill>
    <fill>
      <patternFill patternType="solid">
        <fgColor rgb="FFFFC7CE"/>
      </patternFill>
    </fill>
    <fill>
      <patternFill patternType="solid">
        <fgColor theme="4" tint="0.79998168889431442"/>
        <bgColor theme="4" tint="0.79998168889431442"/>
      </patternFill>
    </fill>
    <fill>
      <patternFill patternType="solid">
        <fgColor rgb="FFFCE8E6"/>
      </patternFill>
    </fill>
    <fill>
      <patternFill patternType="solid">
        <fgColor rgb="FFD9E5F3"/>
      </patternFill>
    </fill>
    <fill>
      <patternFill patternType="solid">
        <fgColor rgb="FFFFFFFF"/>
      </patternFill>
    </fill>
  </fills>
  <borders count="12">
    <border>
      <left/>
      <right/>
      <top/>
      <bottom/>
      <diagonal/>
    </border>
    <border>
      <left/>
      <right/>
      <top/>
      <bottom style="medium">
        <color rgb="FF9EADBA"/>
      </bottom>
      <diagonal/>
    </border>
    <border>
      <left/>
      <right/>
      <top/>
      <bottom style="thin">
        <color rgb="FFD9E2F3"/>
      </bottom>
      <diagonal/>
    </border>
    <border>
      <left/>
      <right/>
      <top style="thin">
        <color rgb="FFD9E2F3"/>
      </top>
      <bottom style="thin">
        <color rgb="FFD9E2F3"/>
      </bottom>
      <diagonal/>
    </border>
    <border>
      <left style="thin">
        <color indexed="64"/>
      </left>
      <right style="thin">
        <color indexed="64"/>
      </right>
      <top style="thin">
        <color indexed="64"/>
      </top>
      <bottom style="thin">
        <color indexed="64"/>
      </bottom>
      <diagonal/>
    </border>
    <border>
      <left/>
      <right/>
      <top style="thin">
        <color rgb="FFD9E2F3"/>
      </top>
      <bottom/>
      <diagonal/>
    </border>
    <border>
      <left style="thin">
        <color rgb="FFA6A6A6"/>
      </left>
      <right/>
      <top style="thin">
        <color rgb="FFA6A6A6"/>
      </top>
      <bottom/>
      <diagonal/>
    </border>
    <border>
      <left/>
      <right/>
      <top style="thin">
        <color rgb="FFA6A6A6"/>
      </top>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right/>
      <top style="thin">
        <color rgb="FF95B3D7"/>
      </top>
      <bottom style="thin">
        <color rgb="FFD9E2F3"/>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3" fillId="0" borderId="0"/>
    <xf numFmtId="9" fontId="3" fillId="0" borderId="0" applyFont="0" applyFill="0" applyBorder="0" applyAlignment="0" applyProtection="0"/>
  </cellStyleXfs>
  <cellXfs count="137">
    <xf numFmtId="0" fontId="0" fillId="0" borderId="0" xfId="0"/>
    <xf numFmtId="0" fontId="0" fillId="0" borderId="0" xfId="0" applyAlignment="1">
      <alignment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0" borderId="4" xfId="0" applyBorder="1" applyAlignment="1">
      <alignment wrapText="1"/>
    </xf>
    <xf numFmtId="0" fontId="0" fillId="0" borderId="4" xfId="0" applyBorder="1" applyAlignment="1">
      <alignment vertical="top" wrapText="1"/>
    </xf>
    <xf numFmtId="0" fontId="1" fillId="2" borderId="0" xfId="0" applyFont="1" applyFill="1" applyAlignment="1">
      <alignment horizontal="center" vertical="center" wrapText="1"/>
    </xf>
    <xf numFmtId="0" fontId="2" fillId="0" borderId="4" xfId="0" applyFont="1" applyBorder="1" applyAlignment="1">
      <alignment horizontal="center" vertical="top" wrapText="1"/>
    </xf>
    <xf numFmtId="0" fontId="2" fillId="0" borderId="4" xfId="0" applyFont="1" applyBorder="1" applyAlignment="1">
      <alignment vertical="top" wrapText="1"/>
    </xf>
    <xf numFmtId="164" fontId="2" fillId="0" borderId="4" xfId="0" applyNumberFormat="1" applyFont="1" applyBorder="1" applyAlignment="1">
      <alignment horizontal="center" vertical="top" wrapText="1"/>
    </xf>
    <xf numFmtId="9" fontId="2" fillId="0" borderId="4" xfId="0" applyNumberFormat="1" applyFont="1" applyBorder="1" applyAlignment="1">
      <alignment vertical="top" wrapText="1"/>
    </xf>
    <xf numFmtId="0" fontId="6" fillId="0" borderId="4" xfId="0" applyFont="1" applyBorder="1" applyAlignment="1">
      <alignment horizontal="center" vertical="top" wrapText="1"/>
    </xf>
    <xf numFmtId="0" fontId="6" fillId="0" borderId="4" xfId="0" applyFont="1" applyBorder="1" applyAlignment="1">
      <alignment horizontal="left" vertical="top" wrapText="1"/>
    </xf>
    <xf numFmtId="164" fontId="6" fillId="0" borderId="4" xfId="0" applyNumberFormat="1" applyFont="1" applyBorder="1" applyAlignment="1">
      <alignment horizontal="center" vertical="top" wrapText="1"/>
    </xf>
    <xf numFmtId="9" fontId="6" fillId="0" borderId="4" xfId="0" applyNumberFormat="1" applyFont="1" applyBorder="1" applyAlignment="1">
      <alignment horizontal="center" vertical="top" wrapText="1"/>
    </xf>
    <xf numFmtId="0" fontId="0" fillId="0" borderId="4" xfId="0" applyBorder="1"/>
    <xf numFmtId="0" fontId="7" fillId="3" borderId="4" xfId="0" applyFont="1" applyFill="1" applyBorder="1" applyAlignment="1">
      <alignment vertical="center" wrapText="1"/>
    </xf>
    <xf numFmtId="0" fontId="6" fillId="4" borderId="4" xfId="0" applyFont="1" applyFill="1" applyBorder="1" applyAlignment="1">
      <alignment horizontal="left" vertical="top" wrapText="1"/>
    </xf>
    <xf numFmtId="0" fontId="0" fillId="0" borderId="4" xfId="0" applyBorder="1" applyAlignment="1">
      <alignment horizontal="center" vertical="top" wrapText="1"/>
    </xf>
    <xf numFmtId="164" fontId="0" fillId="0" borderId="4" xfId="0" applyNumberFormat="1" applyBorder="1" applyAlignment="1">
      <alignment horizontal="center" vertical="top" wrapText="1"/>
    </xf>
    <xf numFmtId="9" fontId="0" fillId="0" borderId="4" xfId="0" applyNumberFormat="1" applyBorder="1" applyAlignment="1">
      <alignment horizontal="center" vertical="top" wrapText="1"/>
    </xf>
    <xf numFmtId="0" fontId="0" fillId="0" borderId="4" xfId="0" applyBorder="1" applyAlignment="1">
      <alignment horizontal="left" vertical="top" wrapText="1"/>
    </xf>
    <xf numFmtId="0" fontId="6" fillId="3" borderId="4" xfId="0" applyFont="1" applyFill="1" applyBorder="1" applyAlignment="1">
      <alignment horizontal="left" vertical="top" wrapText="1"/>
    </xf>
    <xf numFmtId="9" fontId="2" fillId="0" borderId="4" xfId="0" applyNumberFormat="1" applyFont="1" applyBorder="1" applyAlignment="1">
      <alignment horizontal="center" vertical="top" wrapText="1"/>
    </xf>
    <xf numFmtId="0" fontId="2" fillId="0" borderId="4" xfId="0" applyFont="1" applyBorder="1" applyAlignment="1">
      <alignment horizontal="left" vertical="top" wrapText="1"/>
    </xf>
    <xf numFmtId="0" fontId="7" fillId="0" borderId="4" xfId="0" applyFont="1" applyBorder="1" applyAlignment="1">
      <alignment horizontal="center" vertical="top" wrapText="1"/>
    </xf>
    <xf numFmtId="164" fontId="7" fillId="0" borderId="4" xfId="0" applyNumberFormat="1" applyFont="1" applyBorder="1" applyAlignment="1">
      <alignment horizontal="center" vertical="top" wrapText="1"/>
    </xf>
    <xf numFmtId="0" fontId="7" fillId="0" borderId="4" xfId="0" applyFont="1" applyBorder="1" applyAlignment="1">
      <alignment horizontal="left" vertical="top" wrapText="1"/>
    </xf>
    <xf numFmtId="0" fontId="11" fillId="0" borderId="0" xfId="0" applyFont="1"/>
    <xf numFmtId="0" fontId="12" fillId="0" borderId="0" xfId="1" applyFont="1" applyAlignment="1">
      <alignment horizontal="center" vertical="top" wrapText="1"/>
    </xf>
    <xf numFmtId="0" fontId="12" fillId="0" borderId="0" xfId="1" applyFont="1" applyAlignment="1">
      <alignment vertical="top" wrapText="1"/>
    </xf>
    <xf numFmtId="0" fontId="0" fillId="0" borderId="0" xfId="0" applyAlignment="1">
      <alignment vertical="center" wrapText="1"/>
    </xf>
    <xf numFmtId="9" fontId="0" fillId="0" borderId="0" xfId="0" applyNumberFormat="1" applyAlignment="1">
      <alignment vertical="center"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164" fontId="2" fillId="0" borderId="2" xfId="0" applyNumberFormat="1" applyFont="1" applyBorder="1" applyAlignment="1">
      <alignment horizontal="center" vertical="top" wrapText="1"/>
    </xf>
    <xf numFmtId="9" fontId="2" fillId="0" borderId="2" xfId="0" applyNumberFormat="1" applyFont="1" applyBorder="1" applyAlignment="1">
      <alignment horizontal="center"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164" fontId="2" fillId="0" borderId="3" xfId="0" applyNumberFormat="1" applyFont="1" applyBorder="1" applyAlignment="1">
      <alignment horizontal="center" vertical="top" wrapText="1"/>
    </xf>
    <xf numFmtId="9" fontId="2" fillId="0" borderId="3" xfId="0" applyNumberFormat="1" applyFont="1" applyBorder="1" applyAlignment="1">
      <alignment horizontal="center" vertical="top" wrapText="1"/>
    </xf>
    <xf numFmtId="0" fontId="2" fillId="7" borderId="4" xfId="0" applyFont="1" applyFill="1" applyBorder="1" applyAlignment="1">
      <alignment horizontal="center" vertical="top" wrapText="1"/>
    </xf>
    <xf numFmtId="0" fontId="6" fillId="7" borderId="4" xfId="0" applyFont="1" applyFill="1" applyBorder="1" applyAlignment="1">
      <alignment horizontal="left" vertical="top" wrapText="1"/>
    </xf>
    <xf numFmtId="164" fontId="0" fillId="0" borderId="4" xfId="0" applyNumberFormat="1" applyBorder="1"/>
    <xf numFmtId="0" fontId="0" fillId="7" borderId="4" xfId="0" applyFill="1" applyBorder="1" applyAlignment="1">
      <alignment horizontal="center" vertical="top" wrapText="1"/>
    </xf>
    <xf numFmtId="0" fontId="0" fillId="6" borderId="4" xfId="0" applyFill="1" applyBorder="1" applyAlignment="1">
      <alignment horizontal="center" vertical="top" wrapText="1"/>
    </xf>
    <xf numFmtId="0" fontId="0" fillId="0" borderId="4" xfId="0" applyBorder="1" applyAlignment="1">
      <alignment horizontal="center" vertical="center" wrapText="1"/>
    </xf>
    <xf numFmtId="164" fontId="0" fillId="0" borderId="4" xfId="0" applyNumberFormat="1" applyBorder="1" applyAlignment="1">
      <alignment horizontal="center" vertical="center" wrapText="1"/>
    </xf>
    <xf numFmtId="9" fontId="0" fillId="0" borderId="4" xfId="0" applyNumberFormat="1" applyBorder="1" applyAlignment="1">
      <alignment horizontal="center" vertical="center" wrapText="1"/>
    </xf>
    <xf numFmtId="0" fontId="0" fillId="0" borderId="4" xfId="0"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15" fillId="7" borderId="4" xfId="0" applyFont="1" applyFill="1" applyBorder="1" applyAlignment="1">
      <alignment horizontal="center" vertical="center" wrapText="1"/>
    </xf>
    <xf numFmtId="165" fontId="2" fillId="0" borderId="4" xfId="0" applyNumberFormat="1" applyFont="1" applyBorder="1" applyAlignment="1">
      <alignment horizontal="center" vertical="center" wrapText="1"/>
    </xf>
    <xf numFmtId="164" fontId="2" fillId="0" borderId="4" xfId="0" applyNumberFormat="1" applyFont="1" applyBorder="1" applyAlignment="1">
      <alignment horizontal="center" vertical="center" wrapText="1"/>
    </xf>
    <xf numFmtId="9" fontId="2" fillId="0" borderId="4" xfId="0" applyNumberFormat="1" applyFont="1" applyBorder="1" applyAlignment="1">
      <alignment vertical="center" wrapText="1"/>
    </xf>
    <xf numFmtId="0" fontId="0" fillId="0" borderId="4" xfId="0" applyBorder="1" applyAlignment="1">
      <alignment vertical="center" wrapText="1"/>
    </xf>
    <xf numFmtId="0" fontId="17" fillId="8" borderId="0" xfId="0" applyFont="1" applyFill="1" applyAlignment="1">
      <alignment vertical="center"/>
    </xf>
    <xf numFmtId="0" fontId="18" fillId="9" borderId="0" xfId="0" applyFont="1" applyFill="1" applyAlignment="1">
      <alignment vertical="center" wrapText="1"/>
    </xf>
    <xf numFmtId="0" fontId="19" fillId="10" borderId="6" xfId="0" applyFont="1" applyFill="1" applyBorder="1" applyAlignment="1">
      <alignment horizontal="center" vertical="center" wrapText="1"/>
    </xf>
    <xf numFmtId="0" fontId="19" fillId="10" borderId="7" xfId="0" applyFont="1" applyFill="1" applyBorder="1" applyAlignment="1">
      <alignment horizontal="center" vertical="center" wrapText="1"/>
    </xf>
    <xf numFmtId="0" fontId="19" fillId="10" borderId="8" xfId="0" applyFont="1" applyFill="1" applyBorder="1" applyAlignment="1">
      <alignment horizontal="center" vertical="center" wrapText="1"/>
    </xf>
    <xf numFmtId="0" fontId="19" fillId="10" borderId="9" xfId="0" applyFont="1" applyFill="1" applyBorder="1" applyAlignment="1">
      <alignment horizontal="center" vertical="center" wrapText="1"/>
    </xf>
    <xf numFmtId="0" fontId="19" fillId="10" borderId="0" xfId="0" applyFont="1" applyFill="1" applyAlignment="1">
      <alignment vertical="center" wrapText="1"/>
    </xf>
    <xf numFmtId="0" fontId="20" fillId="11" borderId="4" xfId="0" applyFont="1" applyFill="1" applyBorder="1" applyAlignment="1">
      <alignment vertical="top" wrapText="1"/>
    </xf>
    <xf numFmtId="0" fontId="21" fillId="12" borderId="4" xfId="0" applyFont="1" applyFill="1" applyBorder="1" applyAlignment="1">
      <alignment horizontal="center" vertical="top" wrapText="1"/>
    </xf>
    <xf numFmtId="164" fontId="20" fillId="11" borderId="4" xfId="0" applyNumberFormat="1" applyFont="1" applyFill="1" applyBorder="1" applyAlignment="1">
      <alignment vertical="top" wrapText="1"/>
    </xf>
    <xf numFmtId="9" fontId="20" fillId="11" borderId="4" xfId="0" applyNumberFormat="1" applyFont="1" applyFill="1" applyBorder="1" applyAlignment="1">
      <alignment vertical="top" wrapText="1"/>
    </xf>
    <xf numFmtId="0" fontId="20" fillId="11" borderId="2" xfId="0" applyFont="1" applyFill="1" applyBorder="1" applyAlignment="1">
      <alignment horizontal="center" vertical="top" wrapText="1"/>
    </xf>
    <xf numFmtId="9" fontId="20" fillId="11" borderId="2" xfId="0" applyNumberFormat="1" applyFont="1" applyFill="1" applyBorder="1" applyAlignment="1">
      <alignment horizontal="center" vertical="top" wrapText="1"/>
    </xf>
    <xf numFmtId="0" fontId="20" fillId="11" borderId="2" xfId="0" applyFont="1" applyFill="1" applyBorder="1" applyAlignment="1">
      <alignment vertical="top" wrapText="1"/>
    </xf>
    <xf numFmtId="0" fontId="20" fillId="0" borderId="4" xfId="0" applyFont="1" applyBorder="1" applyAlignment="1">
      <alignment vertical="top" wrapText="1"/>
    </xf>
    <xf numFmtId="164" fontId="20" fillId="0" borderId="4" xfId="0" applyNumberFormat="1" applyFont="1" applyBorder="1" applyAlignment="1">
      <alignment vertical="top" wrapText="1"/>
    </xf>
    <xf numFmtId="0" fontId="20" fillId="0" borderId="3" xfId="0" applyFont="1" applyBorder="1" applyAlignment="1">
      <alignment horizontal="center" vertical="top" wrapText="1"/>
    </xf>
    <xf numFmtId="9" fontId="20" fillId="0" borderId="3" xfId="0" applyNumberFormat="1" applyFont="1" applyBorder="1" applyAlignment="1">
      <alignment horizontal="center" vertical="top" wrapText="1"/>
    </xf>
    <xf numFmtId="0" fontId="20" fillId="0" borderId="3" xfId="0" applyFont="1" applyBorder="1" applyAlignment="1">
      <alignment vertical="top" wrapText="1"/>
    </xf>
    <xf numFmtId="0" fontId="20" fillId="11" borderId="3" xfId="0" applyFont="1" applyFill="1" applyBorder="1" applyAlignment="1">
      <alignment horizontal="center" vertical="top" wrapText="1"/>
    </xf>
    <xf numFmtId="9" fontId="20" fillId="11" borderId="3" xfId="0" applyNumberFormat="1" applyFont="1" applyFill="1" applyBorder="1" applyAlignment="1">
      <alignment horizontal="center" vertical="top" wrapText="1"/>
    </xf>
    <xf numFmtId="0" fontId="20" fillId="11" borderId="3" xfId="0" applyFont="1" applyFill="1" applyBorder="1" applyAlignment="1">
      <alignment vertical="top" wrapText="1"/>
    </xf>
    <xf numFmtId="0" fontId="20" fillId="11" borderId="3" xfId="0" quotePrefix="1" applyFont="1" applyFill="1" applyBorder="1" applyAlignment="1">
      <alignment horizontal="center" vertical="top" wrapText="1"/>
    </xf>
    <xf numFmtId="0" fontId="10" fillId="2" borderId="1" xfId="1" applyFont="1" applyFill="1" applyBorder="1" applyAlignment="1">
      <alignment horizontal="center" vertical="center" wrapText="1"/>
    </xf>
    <xf numFmtId="0" fontId="4" fillId="13" borderId="10" xfId="0" applyFont="1" applyFill="1" applyBorder="1" applyAlignment="1">
      <alignment horizontal="center" vertical="center" wrapText="1"/>
    </xf>
    <xf numFmtId="9" fontId="12" fillId="0" borderId="0" xfId="1" applyNumberFormat="1" applyFont="1" applyAlignment="1">
      <alignment horizontal="center" vertical="top" wrapText="1"/>
    </xf>
    <xf numFmtId="0" fontId="4" fillId="3"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6" fillId="0" borderId="4" xfId="0" applyFont="1" applyBorder="1" applyAlignment="1">
      <alignment horizontal="left" vertical="center" wrapText="1"/>
    </xf>
    <xf numFmtId="0" fontId="15" fillId="7" borderId="4" xfId="0" applyFont="1" applyFill="1" applyBorder="1" applyAlignment="1">
      <alignment horizontal="left" vertical="center" wrapText="1"/>
    </xf>
    <xf numFmtId="165" fontId="6" fillId="0" borderId="4" xfId="0" applyNumberFormat="1" applyFont="1" applyBorder="1" applyAlignment="1">
      <alignment horizontal="center" vertical="center" wrapText="1"/>
    </xf>
    <xf numFmtId="9" fontId="6" fillId="0" borderId="4" xfId="0" applyNumberFormat="1" applyFont="1" applyBorder="1" applyAlignment="1">
      <alignment horizontal="center" vertical="center" wrapText="1"/>
    </xf>
    <xf numFmtId="16" fontId="16" fillId="3" borderId="4" xfId="0" applyNumberFormat="1" applyFont="1" applyFill="1" applyBorder="1" applyAlignment="1">
      <alignment horizontal="center" vertical="center" wrapText="1"/>
    </xf>
    <xf numFmtId="16" fontId="4" fillId="3" borderId="4" xfId="0" applyNumberFormat="1" applyFont="1" applyFill="1" applyBorder="1" applyAlignment="1">
      <alignment horizontal="center" vertical="center" wrapText="1"/>
    </xf>
    <xf numFmtId="165" fontId="2" fillId="0" borderId="4" xfId="0" applyNumberFormat="1" applyFont="1" applyBorder="1" applyAlignment="1">
      <alignment horizontal="center" vertical="top" wrapText="1"/>
    </xf>
    <xf numFmtId="0" fontId="2" fillId="5" borderId="4" xfId="0" applyFont="1" applyFill="1" applyBorder="1" applyAlignment="1">
      <alignment horizontal="center" vertical="center" wrapText="1"/>
    </xf>
    <xf numFmtId="165" fontId="6" fillId="0" borderId="4" xfId="0" applyNumberFormat="1" applyFont="1" applyBorder="1" applyAlignment="1">
      <alignment horizontal="center" vertical="top" wrapText="1"/>
    </xf>
    <xf numFmtId="165" fontId="0" fillId="0" borderId="4" xfId="0" applyNumberFormat="1" applyBorder="1" applyAlignment="1">
      <alignment horizontal="center" vertical="center" wrapText="1"/>
    </xf>
    <xf numFmtId="165" fontId="0" fillId="0" borderId="4" xfId="0" applyNumberFormat="1" applyBorder="1" applyAlignment="1">
      <alignment vertical="center" wrapText="1"/>
    </xf>
    <xf numFmtId="0" fontId="0" fillId="14" borderId="4" xfId="0" applyFill="1" applyBorder="1" applyAlignment="1">
      <alignment vertical="top" wrapText="1"/>
    </xf>
    <xf numFmtId="0" fontId="0" fillId="3" borderId="4" xfId="0" applyFill="1" applyBorder="1" applyAlignment="1">
      <alignment vertical="top" wrapText="1"/>
    </xf>
    <xf numFmtId="0" fontId="17" fillId="8" borderId="0" xfId="0" applyFont="1" applyFill="1" applyAlignment="1">
      <alignment vertical="center"/>
    </xf>
    <xf numFmtId="0" fontId="18" fillId="9" borderId="0" xfId="0" applyFont="1" applyFill="1" applyAlignment="1">
      <alignment vertical="center" wrapText="1"/>
    </xf>
    <xf numFmtId="0" fontId="26" fillId="17" borderId="4" xfId="0" applyFont="1" applyFill="1" applyBorder="1" applyAlignment="1">
      <alignment horizontal="center" vertical="center" wrapText="1"/>
    </xf>
    <xf numFmtId="0" fontId="26" fillId="15" borderId="4" xfId="0" applyFont="1" applyFill="1" applyBorder="1" applyAlignment="1">
      <alignment horizontal="center" vertical="center" wrapText="1"/>
    </xf>
    <xf numFmtId="9" fontId="2" fillId="0" borderId="4" xfId="0" applyNumberFormat="1" applyFont="1" applyBorder="1" applyAlignment="1">
      <alignment horizontal="center" vertical="center" wrapText="1"/>
    </xf>
    <xf numFmtId="0" fontId="27" fillId="7" borderId="4" xfId="0" applyFont="1" applyFill="1" applyBorder="1" applyAlignment="1">
      <alignment horizontal="center" vertical="center" wrapText="1"/>
    </xf>
    <xf numFmtId="0" fontId="2" fillId="16" borderId="4" xfId="0" applyFont="1" applyFill="1" applyBorder="1" applyAlignment="1">
      <alignment horizontal="center" vertical="top" wrapText="1"/>
    </xf>
    <xf numFmtId="0" fontId="14" fillId="3" borderId="4" xfId="0" applyFont="1" applyFill="1" applyBorder="1" applyAlignment="1">
      <alignment horizontal="left" vertical="top" wrapText="1"/>
    </xf>
    <xf numFmtId="0" fontId="16" fillId="3" borderId="4" xfId="0" applyFont="1" applyFill="1" applyBorder="1" applyAlignment="1">
      <alignment horizontal="left" vertical="center" wrapText="1"/>
    </xf>
    <xf numFmtId="0" fontId="1" fillId="2" borderId="1" xfId="0" applyFont="1" applyFill="1" applyBorder="1" applyAlignment="1">
      <alignment horizontal="center" vertical="top" wrapText="1"/>
    </xf>
    <xf numFmtId="0" fontId="1" fillId="2" borderId="4" xfId="0" applyFont="1" applyFill="1" applyBorder="1" applyAlignment="1">
      <alignment horizontal="center" vertical="top" wrapText="1"/>
    </xf>
    <xf numFmtId="165" fontId="14" fillId="3" borderId="4" xfId="0" applyNumberFormat="1" applyFont="1" applyFill="1" applyBorder="1" applyAlignment="1">
      <alignment horizontal="center" vertical="top" wrapText="1"/>
    </xf>
    <xf numFmtId="165" fontId="13" fillId="3" borderId="4" xfId="0" applyNumberFormat="1" applyFont="1" applyFill="1" applyBorder="1" applyAlignment="1">
      <alignment horizontal="center" vertical="top" wrapText="1"/>
    </xf>
    <xf numFmtId="165" fontId="0" fillId="0" borderId="4" xfId="0" applyNumberFormat="1" applyBorder="1" applyAlignment="1">
      <alignment vertical="top" wrapText="1"/>
    </xf>
    <xf numFmtId="164" fontId="0" fillId="0" borderId="4" xfId="0" applyNumberFormat="1" applyBorder="1" applyAlignment="1">
      <alignment vertical="top" wrapText="1"/>
    </xf>
    <xf numFmtId="165" fontId="4" fillId="3" borderId="4" xfId="0" applyNumberFormat="1" applyFont="1" applyFill="1" applyBorder="1" applyAlignment="1">
      <alignment horizontal="center" vertical="top" wrapText="1"/>
    </xf>
    <xf numFmtId="165" fontId="16" fillId="3" borderId="4" xfId="0" applyNumberFormat="1" applyFont="1" applyFill="1" applyBorder="1" applyAlignment="1">
      <alignment horizontal="center" vertical="top" wrapText="1"/>
    </xf>
    <xf numFmtId="0" fontId="16" fillId="3" borderId="4" xfId="0" applyFont="1" applyFill="1" applyBorder="1" applyAlignment="1">
      <alignment horizontal="center" vertical="center" wrapText="1"/>
    </xf>
    <xf numFmtId="0" fontId="4" fillId="14" borderId="4" xfId="0" applyFont="1" applyFill="1" applyBorder="1" applyAlignment="1">
      <alignment horizontal="center" vertical="center" wrapText="1"/>
    </xf>
    <xf numFmtId="0" fontId="13" fillId="3" borderId="11" xfId="0" applyFont="1" applyFill="1" applyBorder="1" applyAlignment="1">
      <alignment horizontal="center" vertical="center" wrapText="1"/>
    </xf>
    <xf numFmtId="0" fontId="13" fillId="3" borderId="4" xfId="0" applyFont="1" applyFill="1" applyBorder="1" applyAlignment="1">
      <alignment horizontal="center" vertical="center" wrapText="1"/>
    </xf>
    <xf numFmtId="0" fontId="28" fillId="14" borderId="4" xfId="0" applyFont="1" applyFill="1" applyBorder="1" applyAlignment="1">
      <alignment horizontal="center" vertical="center" wrapText="1"/>
    </xf>
    <xf numFmtId="9" fontId="7" fillId="0" borderId="4" xfId="0" applyNumberFormat="1" applyFont="1" applyBorder="1" applyAlignment="1">
      <alignment horizontal="center" vertical="center" wrapText="1"/>
    </xf>
    <xf numFmtId="9" fontId="0" fillId="0" borderId="4" xfId="0" applyNumberFormat="1" applyBorder="1" applyAlignment="1">
      <alignment horizontal="center" vertical="center"/>
    </xf>
    <xf numFmtId="9" fontId="11" fillId="0" borderId="0" xfId="0" applyNumberFormat="1" applyFont="1"/>
    <xf numFmtId="0" fontId="5" fillId="2" borderId="4" xfId="0" applyFont="1" applyFill="1" applyBorder="1" applyAlignment="1">
      <alignment horizontal="center" vertical="top" wrapText="1"/>
    </xf>
    <xf numFmtId="165" fontId="24" fillId="14" borderId="4" xfId="0" applyNumberFormat="1" applyFont="1" applyFill="1" applyBorder="1" applyAlignment="1">
      <alignment horizontal="center" vertical="top" wrapText="1"/>
    </xf>
    <xf numFmtId="0" fontId="6" fillId="3" borderId="4" xfId="0" applyFont="1" applyFill="1" applyBorder="1" applyAlignment="1">
      <alignment vertical="top" wrapText="1"/>
    </xf>
    <xf numFmtId="0" fontId="13" fillId="3" borderId="4" xfId="0" applyFont="1" applyFill="1" applyBorder="1" applyAlignment="1">
      <alignment horizontal="center" vertical="top" wrapText="1"/>
    </xf>
    <xf numFmtId="0" fontId="28" fillId="14" borderId="3" xfId="0" applyFont="1" applyFill="1" applyBorder="1" applyAlignment="1">
      <alignment horizontal="center" vertical="center" wrapText="1"/>
    </xf>
    <xf numFmtId="9" fontId="2" fillId="0" borderId="2" xfId="0" applyNumberFormat="1" applyFont="1" applyBorder="1" applyAlignment="1">
      <alignment horizontal="center" vertical="center" wrapText="1"/>
    </xf>
    <xf numFmtId="0" fontId="2" fillId="18" borderId="5" xfId="0" applyFont="1" applyFill="1" applyBorder="1" applyAlignment="1">
      <alignment horizontal="left" vertical="top" wrapText="1"/>
    </xf>
    <xf numFmtId="9" fontId="2" fillId="0" borderId="3" xfId="0" applyNumberFormat="1" applyFont="1" applyBorder="1" applyAlignment="1">
      <alignment horizontal="center" vertical="center" wrapText="1"/>
    </xf>
    <xf numFmtId="0" fontId="2" fillId="19" borderId="0" xfId="0" applyFont="1" applyFill="1" applyAlignment="1">
      <alignment horizontal="left" vertical="top" wrapText="1"/>
    </xf>
    <xf numFmtId="0" fontId="13" fillId="3" borderId="3" xfId="0" applyFont="1" applyFill="1" applyBorder="1" applyAlignment="1">
      <alignment horizontal="center" vertical="center" wrapText="1"/>
    </xf>
    <xf numFmtId="0" fontId="2" fillId="18" borderId="0" xfId="0" applyFont="1" applyFill="1" applyAlignment="1">
      <alignment horizontal="left" vertical="top" wrapText="1"/>
    </xf>
    <xf numFmtId="0" fontId="29" fillId="15" borderId="3" xfId="0" applyFont="1" applyFill="1" applyBorder="1" applyAlignment="1">
      <alignment horizontal="center" vertical="center" wrapText="1"/>
    </xf>
    <xf numFmtId="164" fontId="13" fillId="3" borderId="3" xfId="0" applyNumberFormat="1" applyFont="1" applyFill="1" applyBorder="1" applyAlignment="1">
      <alignment horizontal="center" vertical="center" wrapText="1"/>
    </xf>
    <xf numFmtId="0" fontId="2" fillId="19" borderId="2" xfId="0" applyFont="1" applyFill="1" applyBorder="1" applyAlignment="1">
      <alignment horizontal="left" vertical="top" wrapText="1"/>
    </xf>
  </cellXfs>
  <cellStyles count="3">
    <cellStyle name="Normal" xfId="0" builtinId="0"/>
    <cellStyle name="Percent" xfId="2" xr:uid="{00000000-0005-0000-0000-000001000000}"/>
    <cellStyle name="常规" xfId="1" xr:uid="{00000000-0005-0000-0000-000002000000}"/>
  </cellStyles>
  <dxfs count="212">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1F4E78"/>
      </font>
      <fill>
        <patternFill>
          <bgColor rgb="FFDDEBF7"/>
        </patternFill>
      </fill>
    </dxf>
    <dxf>
      <font>
        <b/>
        <color rgb="FF9C6500"/>
      </font>
      <fill>
        <patternFill>
          <bgColor rgb="FFFFF2CC"/>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numFmt numFmtId="13" formatCode="0%"/>
      <alignment horizontal="center" vertical="top" textRotation="0" wrapText="1" indent="0" justifyLastLine="0" shrinkToFit="0" readingOrder="0"/>
    </dxf>
    <dxf>
      <font>
        <strike val="0"/>
        <outline val="0"/>
        <shadow val="0"/>
        <u val="none"/>
        <vertAlign val="baseline"/>
        <sz val="11"/>
        <color rgb="FF1F1F1F"/>
        <name val="Aptos"/>
        <family val="2"/>
        <scheme val="none"/>
      </font>
      <alignment horizontal="center" vertical="top" textRotation="0" wrapText="1" indent="0" justifyLastLine="0" shrinkToFit="0" readingOrder="0"/>
    </dxf>
    <dxf>
      <font>
        <strike val="0"/>
        <outline val="0"/>
        <shadow val="0"/>
        <u val="none"/>
        <vertAlign val="baseline"/>
        <sz val="11"/>
        <color rgb="FF1F1F1F"/>
        <name val="Aptos"/>
        <family val="2"/>
        <scheme val="none"/>
      </font>
      <alignment horizontal="center" vertical="top" textRotation="0" wrapText="1" indent="0" justifyLastLine="0" shrinkToFit="0" readingOrder="0"/>
    </dxf>
    <dxf>
      <font>
        <b/>
        <i val="0"/>
        <strike val="0"/>
        <condense val="0"/>
        <extend val="0"/>
        <outline val="0"/>
        <shadow val="0"/>
        <u val="none"/>
        <vertAlign val="baseline"/>
        <sz val="11"/>
        <color rgb="FF000000"/>
        <name val="Aptos"/>
        <scheme val="none"/>
      </font>
      <fill>
        <patternFill patternType="solid">
          <fgColor rgb="FF000000"/>
          <bgColor rgb="FFC6E0B4"/>
        </patternFill>
      </fill>
      <alignment horizontal="center" vertical="center" textRotation="0" wrapText="1" indent="0" justifyLastLine="0" shrinkToFit="0" readingOrder="0"/>
      <border diagonalUp="0" diagonalDown="0">
        <left/>
        <right/>
        <top style="thin">
          <color rgb="FF95B3D7"/>
        </top>
        <bottom style="thin">
          <color rgb="FFD9E2F3"/>
        </bottom>
        <vertical/>
        <horizontal/>
      </border>
    </dxf>
    <dxf>
      <font>
        <strike val="0"/>
        <outline val="0"/>
        <shadow val="0"/>
        <u val="none"/>
        <vertAlign val="baseline"/>
        <sz val="11"/>
        <color rgb="FF1F1F1F"/>
        <name val="Aptos"/>
        <family val="2"/>
        <scheme val="none"/>
      </font>
      <alignment horizontal="center"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color rgb="FF1F1F1F"/>
        <name val="Aptos"/>
        <family val="2"/>
        <scheme val="none"/>
      </font>
      <alignment horizontal="center" vertical="top" textRotation="0" wrapText="1" indent="0" justifyLastLine="0" shrinkToFit="0" readingOrder="0"/>
    </dxf>
    <dxf>
      <font>
        <strike val="0"/>
        <outline val="0"/>
        <shadow val="0"/>
        <u val="none"/>
        <vertAlign val="baseline"/>
        <sz val="11"/>
        <color rgb="FF1F1F1F"/>
        <name val="Aptos"/>
        <family val="2"/>
        <scheme val="none"/>
      </font>
      <alignment horizontal="general" vertical="top" textRotation="0" wrapText="1" indent="0" justifyLastLine="0" shrinkToFit="0" readingOrder="0"/>
    </dxf>
    <dxf>
      <font>
        <strike val="0"/>
        <outline val="0"/>
        <shadow val="0"/>
        <u val="none"/>
        <vertAlign val="baseline"/>
        <sz val="11"/>
        <name val="Aptos"/>
        <family val="2"/>
        <scheme val="none"/>
      </font>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9"/>
        <color rgb="FF006100"/>
        <name val="Carlito"/>
        <charset val="134"/>
        <scheme val="none"/>
      </font>
      <fill>
        <patternFill patternType="solid">
          <fgColor indexed="64"/>
          <bgColor rgb="FFC6EFCE"/>
        </patternFill>
      </fil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color rgb="FF595959"/>
      </font>
      <fill>
        <patternFill patternType="solid">
          <bgColor rgb="FFE7E6E6"/>
        </patternFill>
      </fill>
    </dxf>
    <dxf>
      <font>
        <b/>
        <color rgb="FF9C0006"/>
      </font>
      <fill>
        <patternFill patternType="solid">
          <bgColor rgb="FFF4CCCC"/>
        </patternFill>
      </fill>
    </dxf>
    <dxf>
      <font>
        <b/>
        <color rgb="FF9C6500"/>
      </font>
      <fill>
        <patternFill patternType="solid">
          <bgColor rgb="FFFFF2CC"/>
        </patternFill>
      </fill>
    </dxf>
    <dxf>
      <font>
        <b/>
        <color rgb="FF1F4E78"/>
      </font>
      <fill>
        <patternFill patternType="solid">
          <bgColor rgb="FFD9EAF7"/>
        </patternFill>
      </fill>
    </dxf>
    <dxf>
      <font>
        <b/>
        <color rgb="FF006100"/>
      </font>
      <fill>
        <patternFill patternType="solid">
          <bgColor rgb="FFC6EFCE"/>
        </patternFill>
      </fill>
    </dxf>
    <dxf>
      <font>
        <b/>
        <color rgb="FF595959"/>
      </font>
      <fill>
        <patternFill patternType="solid">
          <bgColor rgb="FFE7E6E6"/>
        </patternFill>
      </fill>
    </dxf>
    <dxf>
      <font>
        <b/>
        <color rgb="FF9C0006"/>
      </font>
      <fill>
        <patternFill patternType="solid">
          <bgColor rgb="FFF4CCCC"/>
        </patternFill>
      </fill>
    </dxf>
    <dxf>
      <font>
        <b/>
        <color rgb="FF9C6500"/>
      </font>
      <fill>
        <patternFill patternType="solid">
          <bgColor rgb="FFFFF2CC"/>
        </patternFill>
      </fill>
    </dxf>
    <dxf>
      <font>
        <b/>
        <color rgb="FF1F4E78"/>
      </font>
      <fill>
        <patternFill patternType="solid">
          <bgColor rgb="FFD9EAF7"/>
        </patternFill>
      </fill>
    </dxf>
    <dxf>
      <font>
        <b/>
        <color rgb="FF006100"/>
      </font>
      <fill>
        <patternFill patternType="solid">
          <bgColor rgb="FFC6EFCE"/>
        </patternFill>
      </fill>
    </dxf>
    <dxf>
      <font>
        <b/>
        <color rgb="FF7F6000"/>
      </font>
      <fill>
        <patternFill patternType="solid">
          <bgColor rgb="FFFFF2CC"/>
        </patternFill>
      </fill>
    </dxf>
    <dxf>
      <font>
        <b/>
        <color rgb="FF375623"/>
      </font>
      <fill>
        <patternFill patternType="solid">
          <bgColor rgb="FFE2F0D9"/>
        </patternFill>
      </fill>
    </dxf>
    <dxf>
      <font>
        <b/>
        <color rgb="FFC00000"/>
      </font>
      <fill>
        <patternFill patternType="solid">
          <bgColor rgb="FFF4CCCC"/>
        </patternFill>
      </fill>
    </dxf>
    <dxf>
      <font>
        <b/>
        <color rgb="FF7F6000"/>
      </font>
      <fill>
        <patternFill patternType="solid">
          <bgColor rgb="FFFFF2CC"/>
        </patternFill>
      </fill>
    </dxf>
    <dxf>
      <font>
        <b/>
        <color rgb="FF375623"/>
      </font>
      <fill>
        <patternFill patternType="solid">
          <bgColor rgb="FFE2F0D9"/>
        </patternFill>
      </fill>
    </dxf>
    <dxf>
      <font>
        <b/>
        <color rgb="FFC00000"/>
      </font>
      <fill>
        <patternFill patternType="solid">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1F4E78"/>
      </font>
      <fill>
        <patternFill>
          <bgColor rgb="FFDDEBF7"/>
        </patternFill>
      </fill>
    </dxf>
    <dxf>
      <font>
        <b/>
        <color rgb="FF9C6500"/>
      </font>
      <fill>
        <patternFill>
          <bgColor rgb="FFFFF2CC"/>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patternType="solid">
          <bgColor rgb="FFE7E6E6"/>
        </patternFill>
      </fill>
    </dxf>
    <dxf>
      <font>
        <b/>
        <color rgb="FF9C0006"/>
      </font>
      <fill>
        <patternFill patternType="solid">
          <bgColor rgb="FFF4CCCC"/>
        </patternFill>
      </fill>
    </dxf>
    <dxf>
      <font>
        <b/>
        <color rgb="FF9C6500"/>
      </font>
      <fill>
        <patternFill patternType="solid">
          <bgColor rgb="FFFFF2CC"/>
        </patternFill>
      </fill>
    </dxf>
    <dxf>
      <font>
        <b/>
        <color rgb="FF1F4E78"/>
      </font>
      <fill>
        <patternFill patternType="solid">
          <bgColor rgb="FFD9EAF7"/>
        </patternFill>
      </fill>
    </dxf>
    <dxf>
      <font>
        <b/>
        <color rgb="FF006100"/>
      </font>
      <fill>
        <patternFill patternType="solid">
          <bgColor rgb="FFC6EFCE"/>
        </patternFill>
      </fill>
    </dxf>
    <dxf>
      <font>
        <b/>
        <color rgb="FF595959"/>
      </font>
      <fill>
        <patternFill patternType="solid">
          <bgColor rgb="FFE7E6E6"/>
        </patternFill>
      </fill>
    </dxf>
    <dxf>
      <font>
        <b/>
        <color rgb="FF9C0006"/>
      </font>
      <fill>
        <patternFill patternType="solid">
          <bgColor rgb="FFF4CCCC"/>
        </patternFill>
      </fill>
    </dxf>
    <dxf>
      <font>
        <b/>
        <color rgb="FF9C6500"/>
      </font>
      <fill>
        <patternFill patternType="solid">
          <bgColor rgb="FFFFF2CC"/>
        </patternFill>
      </fill>
    </dxf>
    <dxf>
      <font>
        <b/>
        <color rgb="FF1F4E78"/>
      </font>
      <fill>
        <patternFill patternType="solid">
          <bgColor rgb="FFD9EAF7"/>
        </patternFill>
      </fill>
    </dxf>
    <dxf>
      <font>
        <b/>
        <color rgb="FF006100"/>
      </font>
      <fill>
        <patternFill patternType="solid">
          <bgColor rgb="FFC6EFCE"/>
        </patternFill>
      </fill>
    </dxf>
    <dxf>
      <font>
        <b/>
        <color rgb="FF7F6000"/>
      </font>
      <fill>
        <patternFill patternType="solid">
          <bgColor rgb="FFFFF2CC"/>
        </patternFill>
      </fill>
    </dxf>
    <dxf>
      <font>
        <b/>
        <color rgb="FF375623"/>
      </font>
      <fill>
        <patternFill patternType="solid">
          <bgColor rgb="FFE2F0D9"/>
        </patternFill>
      </fill>
    </dxf>
    <dxf>
      <font>
        <b/>
        <color rgb="FFC00000"/>
      </font>
      <fill>
        <patternFill patternType="solid">
          <bgColor rgb="FFF4CCCC"/>
        </patternFill>
      </fill>
    </dxf>
    <dxf>
      <font>
        <b/>
        <color rgb="FF7F6000"/>
      </font>
      <fill>
        <patternFill patternType="solid">
          <bgColor rgb="FFFFF2CC"/>
        </patternFill>
      </fill>
    </dxf>
    <dxf>
      <font>
        <b/>
        <color rgb="FF375623"/>
      </font>
      <fill>
        <patternFill patternType="solid">
          <bgColor rgb="FFE2F0D9"/>
        </patternFill>
      </fill>
    </dxf>
    <dxf>
      <font>
        <b/>
        <color rgb="FFC00000"/>
      </font>
      <fill>
        <patternFill patternType="solid">
          <bgColor rgb="FFF4CCCC"/>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7F6000"/>
      </font>
      <fill>
        <patternFill>
          <bgColor rgb="FFFFE699"/>
        </patternFill>
      </fill>
    </dxf>
    <dxf>
      <font>
        <b/>
        <color rgb="FF006100"/>
      </font>
      <fill>
        <patternFill>
          <bgColor rgb="FFC6E0B4"/>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71A1BB0-309E-488F-B49F-600E48896486}" name="TeamRoadmapTable1" displayName="TeamRoadmapTable1" ref="A1:M7" totalsRowShown="0">
  <autoFilter ref="A1:M7" xr:uid="{A71A1BB0-309E-488F-B49F-600E48896486}"/>
  <tableColumns count="13">
    <tableColumn id="1" xr3:uid="{C980970C-B48D-4335-A7E5-7AA2F6802A24}" name="#" dataDxfId="76"/>
    <tableColumn id="2" xr3:uid="{96D6F9DD-6A4C-4A23-8A2B-F5291F35F77B}" name="Project / Workstream" dataDxfId="75"/>
    <tableColumn id="3" xr3:uid="{888D9B81-A395-47DF-80CE-DA1131D1376F}" name="Status" dataDxfId="74"/>
    <tableColumn id="4" xr3:uid="{CD231B59-4E25-4B82-A1EB-E707CA38F7F6}" name="Start Date" dataDxfId="73"/>
    <tableColumn id="5" xr3:uid="{09DB588B-E2A0-4761-85A9-73F0AAB8C56E}" name="Completion Date" dataDxfId="72"/>
    <tableColumn id="6" xr3:uid="{1A4661DA-45C5-46A1-916F-2F7D6E08BB15}" name="% of Completion" dataDxfId="71"/>
    <tableColumn id="7" xr3:uid="{48DEBC38-3245-436F-B70F-5021B1121FE5}" name="Core Objective" dataDxfId="70"/>
    <tableColumn id="8" xr3:uid="{290E8003-D7B1-4D5D-857D-CBB894CC223E}" name="Current Progress" dataDxfId="69"/>
    <tableColumn id="9" xr3:uid="{BCACD256-A4F8-499C-BFD0-C1A9A8DABF38}" name="Key Next Steps" dataDxfId="68"/>
    <tableColumn id="10" xr3:uid="{5A660B4D-1115-4650-BF44-269E14C2F4B6}" name="Owners / Direct Responsible Individual" dataDxfId="67"/>
    <tableColumn id="11" xr3:uid="{8A1FC045-4525-484D-851C-CE33F806003F}" name="Key Risks / Blockers" dataDxfId="66"/>
    <tableColumn id="12" xr3:uid="{FF19E1D6-D997-457B-AED2-186127759682}" name="Management Attention" dataDxfId="65"/>
    <tableColumn id="13" xr3:uid="{7B618D71-AE79-4B84-AB4E-BE24031BD242}" name="Source / Notes" dataDxfId="6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A043A57-0A20-4E85-A933-3BB0CB08E4C9}" name="TeamRoadmapTable2" displayName="TeamRoadmapTable2" ref="A1:M19" totalsRowShown="0">
  <autoFilter ref="A1:M19" xr:uid="{3A043A57-0A20-4E85-A933-3BB0CB08E4C9}"/>
  <tableColumns count="13">
    <tableColumn id="1" xr3:uid="{04D2C9D7-4A63-4D43-8460-5BA1E57998E1}" name="#" dataDxfId="48"/>
    <tableColumn id="2" xr3:uid="{DE32A74B-ACED-4731-9D8E-7226F401412D}" name="Project / Workstream" dataDxfId="47"/>
    <tableColumn id="3" xr3:uid="{04149982-9EF5-449F-961A-BF0867C647C1}" name="Status" dataDxfId="46"/>
    <tableColumn id="4" xr3:uid="{A1E93C6D-5D79-4BAD-8158-FC06AB9A0A2A}" name="Start Date" dataDxfId="45"/>
    <tableColumn id="5" xr3:uid="{9D70E4F2-14E3-4514-82F7-82857D4D498F}" name="Completion Date" dataDxfId="44"/>
    <tableColumn id="6" xr3:uid="{DE2824DE-72CA-4C5B-B785-96216DFB725E}" name="% of Completion" dataDxfId="43"/>
    <tableColumn id="7" xr3:uid="{0E7CE61A-FFCE-42EC-9A19-4DC35F7D82EC}" name="Core Objective" dataDxfId="42"/>
    <tableColumn id="8" xr3:uid="{DA97804F-4A67-45F4-8DC4-109A8061E995}" name="Current Progress" dataDxfId="41"/>
    <tableColumn id="9" xr3:uid="{3BA55CC0-9EA7-4EFE-BA4C-A10EF8069CDF}" name="Key Next Steps" dataDxfId="40"/>
    <tableColumn id="10" xr3:uid="{F28926D7-580C-4F13-B486-AF82074B882E}" name="Owners / Direct Responsible Individual " dataDxfId="39"/>
    <tableColumn id="11" xr3:uid="{7F73DD8A-CAFD-4606-9581-BD4E972F5D36}" name="Key Risks / Blockers" dataDxfId="38"/>
    <tableColumn id="12" xr3:uid="{D7F0EE5A-FD00-467C-A756-3F85ED5C0E14}" name="Management Attention" dataDxfId="37"/>
    <tableColumn id="13" xr3:uid="{28C61FA1-267E-4365-9DF4-7313CD4DA5E3}" name="Source / Notes" dataDxfId="3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3D12A05-4024-4190-889D-F8FEFB906ADF}" name="_10IoTTable" displayName="_10IoTTable" ref="A3:M7" totalsRowShown="0">
  <autoFilter ref="A3:M7" xr:uid="{43D12A05-4024-4190-889D-F8FEFB906ADF}"/>
  <tableColumns count="13">
    <tableColumn id="1" xr3:uid="{9D1720D2-255E-4948-AEA4-87288BF22E61}" name="#" dataDxfId="93"/>
    <tableColumn id="2" xr3:uid="{4CEBED98-D095-4FF0-AA5D-6905FADEA5E0}" name="Project / Workstream" dataDxfId="92"/>
    <tableColumn id="3" xr3:uid="{E63C1969-65EA-4BA6-88C8-CDFA436DDC12}" name="Status" dataDxfId="91"/>
    <tableColumn id="13" xr3:uid="{5C0468A9-CA1F-4BCC-9EFD-A6FE497EF0EA}" name="RAG Status" dataDxfId="90"/>
    <tableColumn id="4" xr3:uid="{BD2A85DA-AC7D-412B-B2D3-E211E2A201B7}" name="Start Date" dataDxfId="89"/>
    <tableColumn id="5" xr3:uid="{9D1F8663-B522-4F92-B037-83A09E5F1E2C}" name="Completion Date" dataDxfId="88"/>
    <tableColumn id="6" xr3:uid="{9C8B4CFC-45ED-4D95-9EE8-678A45C388A2}" name="% of Completion" dataDxfId="87"/>
    <tableColumn id="7" xr3:uid="{8042D65A-E9A7-440A-8DA3-E859E12CE7CC}" name="Core Objective"/>
    <tableColumn id="8" xr3:uid="{9DE2D962-3BBB-4A29-890B-C8C6BB038444}" name="Current Progress"/>
    <tableColumn id="9" xr3:uid="{684619BD-39A8-4E89-B9A3-C74834F32A8A}" name="Key Next Steps"/>
    <tableColumn id="10" xr3:uid="{24D4025D-F39D-4407-B35F-CD8AEA2E57C3}" name="Owner / Responsible"/>
    <tableColumn id="11" xr3:uid="{73DAAFFC-7E8C-4966-9664-41AA97AE649F}" name="Key Risks / Blockers"/>
    <tableColumn id="12" xr3:uid="{F32A4FCC-971E-4648-9B44-F16791CE3522}" name="Management Attention"/>
  </tableColumns>
  <tableStyleInfo name="TableStyleMedium2"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ECFDA90-66A0-4F30-B0FF-7E730E1479EF}" name="TeamRoadmapTable4" displayName="TeamRoadmapTable4" ref="A1:N10" totalsRowShown="0" headerRowDxfId="31" dataDxfId="30" dataCellStyle="常规">
  <autoFilter ref="A1:N10" xr:uid="{1ECFDA90-66A0-4F30-B0FF-7E730E1479EF}"/>
  <tableColumns count="14">
    <tableColumn id="1" xr3:uid="{679CF03B-1214-4CC0-9C0B-50F40DA8A237}" name="#" dataDxfId="29" dataCellStyle="常规"/>
    <tableColumn id="2" xr3:uid="{190D03B6-3A2A-4849-8CD1-3CE10074EEFE}" name="Project / Workstream" dataDxfId="28" dataCellStyle="常规"/>
    <tableColumn id="3" xr3:uid="{DF3A1391-53C9-42A8-9B4E-6E5AC03DE8CA}" name="Status" dataDxfId="27" dataCellStyle="常规"/>
    <tableColumn id="15" xr3:uid="{A8F23B7A-2051-42FE-B1A7-F0B22DA7AEA3}" name="RAG Status" dataDxfId="26" dataCellStyle="常规"/>
    <tableColumn id="4" xr3:uid="{FB882904-D83E-4AF4-94C7-D3D6C40D0A43}" name="Start Date" dataDxfId="25" dataCellStyle="常规"/>
    <tableColumn id="5" xr3:uid="{F4997E23-B6A3-4C2E-A58C-B3F149E07E71}" name="Completion Date" dataDxfId="24" dataCellStyle="常规"/>
    <tableColumn id="6" xr3:uid="{D21D1725-E004-4FA3-87DE-59FAC267E67C}" name="% of Completion" dataDxfId="23" dataCellStyle="常规"/>
    <tableColumn id="7" xr3:uid="{85ECBED0-BAC5-4B91-8509-920E9DA6D49C}" name="Core Objective" dataDxfId="22" dataCellStyle="常规"/>
    <tableColumn id="8" xr3:uid="{1BEF56B1-00D5-4AB9-80BA-54516FCD12F4}" name="Current Progress" dataDxfId="21" dataCellStyle="常规"/>
    <tableColumn id="9" xr3:uid="{217482B5-A245-481C-BB74-5CCA909D64C7}" name="Key Next Steps" dataDxfId="20" dataCellStyle="常规"/>
    <tableColumn id="10" xr3:uid="{99FB2831-B049-41B4-9630-30604A9C16D4}" name="Owners / Direct Responsible Individual" dataDxfId="19" dataCellStyle="常规"/>
    <tableColumn id="11" xr3:uid="{96B9AD91-82DF-4634-9B78-C515E558FCD4}" name="Key Risks / Blockers" dataDxfId="18" dataCellStyle="常规"/>
    <tableColumn id="12" xr3:uid="{37A3351C-8352-4160-8826-AF8B8E6368EF}" name="Management Attention" dataDxfId="17" dataCellStyle="常规"/>
    <tableColumn id="13" xr3:uid="{7B16C62B-B1C1-471B-85DC-88990965CC5E}" name="Source / Notes" dataDxfId="16" dataCellStyle="常规"/>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DDCF40A6-8609-4402-B88B-94BD7D601DF8}" name="TeamRoadmapTable5" displayName="TeamRoadmapTable5" ref="A1:M8" totalsRowShown="0">
  <autoFilter ref="A1:M8" xr:uid="{DDCF40A6-8609-4402-B88B-94BD7D601DF8}"/>
  <tableColumns count="13">
    <tableColumn id="1" xr3:uid="{992378DB-BAFF-4832-8786-45C23A2A002B}" name="#"/>
    <tableColumn id="2" xr3:uid="{7BD368F3-A454-452B-83F7-722D23FCEA86}" name="Project / Workstream"/>
    <tableColumn id="3" xr3:uid="{6E60630D-B81E-4FCF-8164-216A00173EDD}" name="Status"/>
    <tableColumn id="4" xr3:uid="{D340E936-7DEC-4C33-862B-102826A05039}" name="RAG Status"/>
    <tableColumn id="5" xr3:uid="{9F02826F-ADBE-40D0-973D-D8AC234AE28D}" name="Start Date"/>
    <tableColumn id="6" xr3:uid="{05F300A6-43D2-4726-9309-95D1119A55EA}" name="Completion Date"/>
    <tableColumn id="7" xr3:uid="{CC43EE51-515C-403E-8F43-C2079DAEF0F5}" name="% of Completion"/>
    <tableColumn id="8" xr3:uid="{9EA078C9-2C51-4E1A-B038-4772855D3CE3}" name="Core Objective"/>
    <tableColumn id="9" xr3:uid="{7935071B-3124-4354-A537-77CB74C15AF7}" name="Current Progress"/>
    <tableColumn id="10" xr3:uid="{B1FDCEF1-7E69-46E5-85FD-AD20CF36E917}" name="Key Next Steps"/>
    <tableColumn id="11" xr3:uid="{DEDC49FB-2B9B-4B35-B7AB-983310EE15CD}" name="Owners / Direct Responsible Individual"/>
    <tableColumn id="12" xr3:uid="{1564DE80-CF4F-48D9-9ACC-9BA31D3B9436}" name="Key Risks / Blockers"/>
    <tableColumn id="13" xr3:uid="{AE0CC42C-B033-4172-A4B7-688AAACD81BF}" name="Management Attentio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29BE91-12F7-41D7-96DC-1435A4A1D6D5}" name="TeamRoadmapTable6" displayName="TeamRoadmapTable6" ref="A1:M12" totalsRowShown="0">
  <autoFilter ref="A1:M12" xr:uid="{AF29BE91-12F7-41D7-96DC-1435A4A1D6D5}"/>
  <tableColumns count="13">
    <tableColumn id="1" xr3:uid="{D30BF4EC-955A-42A8-82DD-DFC1FA0E5E7D}" name="#" dataDxfId="125"/>
    <tableColumn id="2" xr3:uid="{ED6809AB-855C-4EA2-9397-856F2BE4DAB5}" name="Project / Workstream" dataDxfId="124"/>
    <tableColumn id="3" xr3:uid="{DEA9FC0A-0DA4-4864-B04F-5557D7CD8EE4}" name="Status" dataDxfId="123"/>
    <tableColumn id="4" xr3:uid="{A47988CA-1547-453E-9F7C-2F040DF7A266}" name="Start Date" dataDxfId="122"/>
    <tableColumn id="5" xr3:uid="{B2CE9BA8-8D83-4808-B5B6-1245DF87E76F}" name="Completion Date" dataDxfId="121"/>
    <tableColumn id="6" xr3:uid="{7BA0FCD7-0715-4EFA-A1C9-7506AB98CF57}" name="% of Completion" dataDxfId="120"/>
    <tableColumn id="7" xr3:uid="{7E29D23E-18DB-4895-8105-E582525A76DA}" name="Core Objective" dataDxfId="119"/>
    <tableColumn id="8" xr3:uid="{B408C4DA-6CB0-428A-9D08-DD16AA355A61}" name="Current Progress" dataDxfId="118"/>
    <tableColumn id="9" xr3:uid="{1DC2176A-256A-4A96-AD50-0B1E8B37A4A9}" name="Key Next Steps" dataDxfId="117"/>
    <tableColumn id="10" xr3:uid="{06D17CEA-01D9-4ADD-B928-3449CB6F0519}" name="Owners / Direct Responsible Individual" dataDxfId="116"/>
    <tableColumn id="11" xr3:uid="{AE5FD19A-866E-4462-85AB-0ED794227DC3}" name="Key Risks / Blockers" dataDxfId="115"/>
    <tableColumn id="12" xr3:uid="{1ABD2D3B-AF76-4375-A3B2-7171D61620F4}" name="Management Attention" dataDxfId="114"/>
    <tableColumn id="13" xr3:uid="{31BE1D2A-1D54-46BB-BD45-935CBF81148E}" name="Source / Notes" dataDxfId="1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showGridLines="0" workbookViewId="0">
      <pane ySplit="1" topLeftCell="A2" activePane="bottomLeft" state="frozen"/>
      <selection pane="bottomLeft" activeCell="A2" sqref="A2"/>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6" t="s">
        <v>0</v>
      </c>
      <c r="B1" s="6" t="s">
        <v>1</v>
      </c>
      <c r="C1" s="6" t="s">
        <v>2</v>
      </c>
      <c r="D1" s="6" t="s">
        <v>3</v>
      </c>
      <c r="E1" s="6" t="s">
        <v>4</v>
      </c>
      <c r="F1" s="6" t="s">
        <v>789</v>
      </c>
      <c r="G1" s="6" t="s">
        <v>5</v>
      </c>
      <c r="H1" s="6" t="s">
        <v>6</v>
      </c>
      <c r="I1" s="6" t="s">
        <v>7</v>
      </c>
      <c r="J1" s="6" t="s">
        <v>8</v>
      </c>
      <c r="K1" s="6" t="s">
        <v>9</v>
      </c>
      <c r="L1" s="6" t="s">
        <v>10</v>
      </c>
      <c r="M1" s="6" t="s">
        <v>11</v>
      </c>
      <c r="N1" s="1" t="s">
        <v>12</v>
      </c>
    </row>
    <row r="2" spans="1:14" ht="160" customHeight="1">
      <c r="A2" s="50">
        <v>1</v>
      </c>
      <c r="B2" s="51" t="s">
        <v>650</v>
      </c>
      <c r="C2" s="52" t="s">
        <v>651</v>
      </c>
      <c r="D2" s="115" t="s">
        <v>13</v>
      </c>
      <c r="E2" s="53">
        <v>46286</v>
      </c>
      <c r="F2" s="54" t="s">
        <v>652</v>
      </c>
      <c r="G2" s="55">
        <v>0.6</v>
      </c>
      <c r="H2" s="51" t="s">
        <v>653</v>
      </c>
      <c r="I2" s="51" t="s">
        <v>654</v>
      </c>
      <c r="J2" s="51" t="s">
        <v>655</v>
      </c>
      <c r="K2" s="51" t="s">
        <v>656</v>
      </c>
      <c r="L2" s="51" t="s">
        <v>657</v>
      </c>
      <c r="M2" s="51" t="s">
        <v>658</v>
      </c>
      <c r="N2" s="56" t="s">
        <v>659</v>
      </c>
    </row>
    <row r="3" spans="1:14" ht="160" customHeight="1">
      <c r="A3" s="50">
        <v>2</v>
      </c>
      <c r="B3" s="51" t="s">
        <v>17</v>
      </c>
      <c r="C3" s="52" t="s">
        <v>660</v>
      </c>
      <c r="D3" s="115" t="s">
        <v>13</v>
      </c>
      <c r="E3" s="53">
        <v>46286</v>
      </c>
      <c r="F3" s="54" t="s">
        <v>661</v>
      </c>
      <c r="G3" s="55">
        <v>0.85</v>
      </c>
      <c r="H3" s="51" t="s">
        <v>662</v>
      </c>
      <c r="I3" s="51" t="s">
        <v>663</v>
      </c>
      <c r="J3" s="51" t="s">
        <v>664</v>
      </c>
      <c r="K3" s="51" t="s">
        <v>665</v>
      </c>
      <c r="L3" s="51" t="s">
        <v>666</v>
      </c>
      <c r="M3" s="51" t="s">
        <v>667</v>
      </c>
      <c r="N3" s="56" t="s">
        <v>659</v>
      </c>
    </row>
    <row r="4" spans="1:14" ht="160" customHeight="1">
      <c r="A4" s="50">
        <v>3</v>
      </c>
      <c r="B4" s="51" t="s">
        <v>19</v>
      </c>
      <c r="C4" s="52" t="s">
        <v>668</v>
      </c>
      <c r="D4" s="115" t="s">
        <v>13</v>
      </c>
      <c r="E4" s="53">
        <v>46286</v>
      </c>
      <c r="F4" s="54" t="s">
        <v>669</v>
      </c>
      <c r="G4" s="55">
        <v>0.5</v>
      </c>
      <c r="H4" s="51" t="s">
        <v>670</v>
      </c>
      <c r="I4" s="51" t="s">
        <v>671</v>
      </c>
      <c r="J4" s="51" t="s">
        <v>672</v>
      </c>
      <c r="K4" s="51" t="s">
        <v>673</v>
      </c>
      <c r="L4" s="51" t="s">
        <v>674</v>
      </c>
      <c r="M4" s="51" t="s">
        <v>675</v>
      </c>
      <c r="N4" s="56" t="s">
        <v>659</v>
      </c>
    </row>
    <row r="5" spans="1:14" ht="39.65" customHeight="1">
      <c r="A5" s="7">
        <v>4</v>
      </c>
      <c r="B5" s="8" t="s">
        <v>20</v>
      </c>
      <c r="C5" s="7" t="s">
        <v>21</v>
      </c>
      <c r="D5" s="116" t="s">
        <v>22</v>
      </c>
      <c r="E5" s="9" t="s">
        <v>14</v>
      </c>
      <c r="F5" s="9" t="s">
        <v>14</v>
      </c>
      <c r="G5" s="10">
        <v>1</v>
      </c>
      <c r="H5" s="8" t="s">
        <v>23</v>
      </c>
      <c r="I5" s="8" t="s">
        <v>24</v>
      </c>
      <c r="J5" s="8" t="s">
        <v>25</v>
      </c>
      <c r="K5" s="8" t="s">
        <v>15</v>
      </c>
      <c r="L5" s="8" t="s">
        <v>26</v>
      </c>
      <c r="M5" s="8" t="s">
        <v>27</v>
      </c>
      <c r="N5" s="4" t="s">
        <v>28</v>
      </c>
    </row>
    <row r="6" spans="1:14" ht="96" customHeight="1">
      <c r="A6" s="7"/>
      <c r="B6" s="8"/>
      <c r="C6" s="7"/>
      <c r="D6" s="116" t="s">
        <v>22</v>
      </c>
      <c r="E6" s="9"/>
      <c r="F6" s="9"/>
      <c r="G6" s="10"/>
      <c r="H6" s="8"/>
      <c r="I6" s="8"/>
      <c r="J6" s="8"/>
      <c r="K6" s="8"/>
      <c r="L6" s="8"/>
      <c r="M6" s="8"/>
      <c r="N6" s="12" t="s">
        <v>36</v>
      </c>
    </row>
    <row r="7" spans="1:14" ht="96" customHeight="1">
      <c r="A7" s="7"/>
      <c r="B7" s="8"/>
      <c r="C7" s="7"/>
      <c r="D7" s="116" t="s">
        <v>22</v>
      </c>
      <c r="E7" s="9"/>
      <c r="F7" s="9"/>
      <c r="G7" s="10"/>
      <c r="H7" s="8"/>
      <c r="I7" s="8"/>
      <c r="J7" s="8"/>
      <c r="K7" s="8"/>
      <c r="L7" s="8"/>
      <c r="M7" s="8"/>
      <c r="N7" s="12" t="s">
        <v>45</v>
      </c>
    </row>
    <row r="8" spans="1:14" ht="96" customHeight="1">
      <c r="A8" s="11">
        <v>5</v>
      </c>
      <c r="B8" s="12" t="s">
        <v>29</v>
      </c>
      <c r="C8" s="7" t="s">
        <v>676</v>
      </c>
      <c r="D8" s="116" t="s">
        <v>22</v>
      </c>
      <c r="E8" s="13" t="s">
        <v>14</v>
      </c>
      <c r="F8" s="13" t="s">
        <v>14</v>
      </c>
      <c r="G8" s="14">
        <v>0.9</v>
      </c>
      <c r="H8" s="12" t="s">
        <v>30</v>
      </c>
      <c r="I8" s="12" t="s">
        <v>31</v>
      </c>
      <c r="J8" s="12" t="s">
        <v>32</v>
      </c>
      <c r="K8" s="12" t="s">
        <v>33</v>
      </c>
      <c r="L8" s="12" t="s">
        <v>34</v>
      </c>
      <c r="M8" s="12" t="s">
        <v>35</v>
      </c>
      <c r="N8" s="12" t="s">
        <v>36</v>
      </c>
    </row>
    <row r="9" spans="1:14" ht="96" customHeight="1">
      <c r="A9" s="11">
        <v>6</v>
      </c>
      <c r="B9" s="12" t="s">
        <v>37</v>
      </c>
      <c r="C9" s="7" t="s">
        <v>38</v>
      </c>
      <c r="D9" s="116" t="s">
        <v>22</v>
      </c>
      <c r="E9" s="13" t="s">
        <v>14</v>
      </c>
      <c r="F9" s="13" t="s">
        <v>14</v>
      </c>
      <c r="G9" s="14">
        <v>0.2</v>
      </c>
      <c r="H9" s="12" t="s">
        <v>39</v>
      </c>
      <c r="I9" s="12" t="s">
        <v>40</v>
      </c>
      <c r="J9" s="12" t="s">
        <v>41</v>
      </c>
      <c r="K9" s="12" t="s">
        <v>42</v>
      </c>
      <c r="L9" s="12" t="s">
        <v>43</v>
      </c>
      <c r="M9" s="12" t="s">
        <v>44</v>
      </c>
      <c r="N9" s="12" t="s">
        <v>36</v>
      </c>
    </row>
    <row r="10" spans="1:14" ht="96" customHeight="1">
      <c r="A10" s="11">
        <v>7</v>
      </c>
      <c r="B10" s="12" t="s">
        <v>46</v>
      </c>
      <c r="C10" s="7" t="s">
        <v>47</v>
      </c>
      <c r="D10" s="116" t="s">
        <v>22</v>
      </c>
      <c r="E10" s="13" t="s">
        <v>14</v>
      </c>
      <c r="F10" s="13" t="s">
        <v>14</v>
      </c>
      <c r="G10" s="14">
        <v>1</v>
      </c>
      <c r="H10" s="12" t="s">
        <v>48</v>
      </c>
      <c r="I10" s="12" t="s">
        <v>49</v>
      </c>
      <c r="J10" s="12" t="s">
        <v>50</v>
      </c>
      <c r="K10" s="12" t="s">
        <v>51</v>
      </c>
      <c r="L10" s="12" t="s">
        <v>52</v>
      </c>
      <c r="M10" s="12" t="s">
        <v>53</v>
      </c>
      <c r="N10" s="12" t="s">
        <v>71</v>
      </c>
    </row>
    <row r="11" spans="1:14" ht="62.5">
      <c r="A11" s="11">
        <v>8</v>
      </c>
      <c r="B11" s="12" t="s">
        <v>54</v>
      </c>
      <c r="C11" s="7" t="s">
        <v>55</v>
      </c>
      <c r="D11" s="116" t="s">
        <v>22</v>
      </c>
      <c r="E11" s="13" t="s">
        <v>14</v>
      </c>
      <c r="F11" s="13" t="s">
        <v>14</v>
      </c>
      <c r="G11" s="14">
        <v>1</v>
      </c>
      <c r="H11" s="12" t="s">
        <v>56</v>
      </c>
      <c r="I11" s="12" t="s">
        <v>57</v>
      </c>
      <c r="J11" s="12" t="s">
        <v>58</v>
      </c>
      <c r="K11" s="12" t="s">
        <v>59</v>
      </c>
      <c r="L11" s="12" t="s">
        <v>60</v>
      </c>
      <c r="M11" s="12" t="s">
        <v>61</v>
      </c>
    </row>
    <row r="12" spans="1:14" ht="50">
      <c r="A12" s="11">
        <v>9</v>
      </c>
      <c r="B12" s="12" t="s">
        <v>62</v>
      </c>
      <c r="C12" s="7" t="s">
        <v>63</v>
      </c>
      <c r="D12" s="116" t="s">
        <v>22</v>
      </c>
      <c r="E12" s="13" t="s">
        <v>64</v>
      </c>
      <c r="F12" s="13" t="s">
        <v>14</v>
      </c>
      <c r="G12" s="14">
        <v>1</v>
      </c>
      <c r="H12" s="12" t="s">
        <v>65</v>
      </c>
      <c r="I12" s="12" t="s">
        <v>66</v>
      </c>
      <c r="J12" s="12" t="s">
        <v>67</v>
      </c>
      <c r="K12" s="12" t="s">
        <v>68</v>
      </c>
      <c r="L12" s="12" t="s">
        <v>69</v>
      </c>
      <c r="M12" s="12" t="s">
        <v>70</v>
      </c>
    </row>
  </sheetData>
  <conditionalFormatting sqref="C2:C12">
    <cfRule type="containsText" dxfId="86" priority="5" operator="containsText" text="Completed"/>
    <cfRule type="containsText" dxfId="85" priority="6" operator="containsText" text="In Progress"/>
    <cfRule type="containsText" dxfId="84" priority="7" operator="containsText" text="At Risk"/>
    <cfRule type="containsText" dxfId="83" priority="8" operator="containsText" text="Not Started"/>
  </conditionalFormatting>
  <conditionalFormatting sqref="D2:D4">
    <cfRule type="containsText" dxfId="82" priority="13" operator="containsText" text="Red"/>
    <cfRule type="containsText" dxfId="81" priority="14" operator="containsText" text="Amber"/>
    <cfRule type="containsText" dxfId="80" priority="15" operator="containsText" text="Green"/>
  </conditionalFormatting>
  <conditionalFormatting sqref="D5:D12">
    <cfRule type="containsText" dxfId="79" priority="1" operator="containsText" text="At Risk"/>
    <cfRule type="containsText" dxfId="78" priority="2" operator="containsText" text="Amber"/>
    <cfRule type="containsText" dxfId="77" priority="3" operator="containsText" text="Green"/>
  </conditionalFormatting>
  <conditionalFormatting sqref="F2:F7">
    <cfRule type="dataBar" priority="4">
      <dataBar>
        <cfvo type="min"/>
        <cfvo type="max"/>
        <color rgb="FF5B9BD5"/>
      </dataBar>
    </cfRule>
    <cfRule type="dataBar" priority="9">
      <dataBar>
        <cfvo type="min"/>
        <cfvo type="max"/>
        <color rgb="FF5B9BD5"/>
      </dataBar>
    </cfRule>
    <cfRule type="dataBar" priority="10">
      <dataBar>
        <cfvo type="min"/>
        <cfvo type="max"/>
        <color rgb="FF5B9BD5"/>
      </dataBar>
    </cfRule>
    <cfRule type="dataBar" priority="11">
      <dataBar>
        <cfvo type="min"/>
        <cfvo type="max"/>
        <color rgb="FF5B9BD5"/>
      </dataBar>
    </cfRule>
    <cfRule type="dataBar" priority="12">
      <dataBar>
        <cfvo type="min"/>
        <cfvo type="max"/>
        <color rgb="FF5B9BD5"/>
      </dataBar>
    </cfRule>
    <cfRule type="dataBar" priority="16">
      <dataBar>
        <cfvo type="min"/>
        <cfvo type="max"/>
        <color rgb="FF5B9BD5"/>
      </dataBar>
    </cfRule>
    <cfRule type="dataBar" priority="17">
      <dataBar>
        <cfvo type="min"/>
        <cfvo type="max"/>
        <color rgb="FF5B9BD5"/>
      </dataBar>
    </cfRule>
    <cfRule type="dataBar" priority="18">
      <dataBar>
        <cfvo type="min"/>
        <cfvo type="max"/>
        <color rgb="FF5B9BD5"/>
      </dataBar>
    </cfRule>
    <cfRule type="dataBar" priority="19">
      <dataBar>
        <cfvo type="min"/>
        <cfvo type="max"/>
        <color rgb="FF5B9BD5"/>
      </dataBar>
      <extLst>
        <ext xmlns:x14="http://schemas.microsoft.com/office/spreadsheetml/2009/9/main" uri="{B025F937-C7B1-47D3-B67F-A62EFF666E3E}">
          <x14:id>{22727F57-BF7D-4E43-9593-49D480A2B8C6}</x14:id>
        </ext>
      </extLst>
    </cfRule>
  </conditionalFormatting>
  <dataValidations count="3">
    <dataValidation type="list" sqref="C2:C7" xr:uid="{D7BC36C9-FE77-4EAE-BAB3-7DFA5FE92CBA}">
      <formula1>"Not Started,Pending,In Progress,Ongoing,At Risk,On Hold,Completed,Roadmap,Readiness,Evaluation"</formula1>
    </dataValidation>
    <dataValidation type="decimal" sqref="F2:F7" xr:uid="{C8241067-791C-4033-A795-A0D565FA290C}">
      <formula1>0</formula1>
      <formula2>1</formula2>
    </dataValidation>
    <dataValidation type="list" sqref="D2:D4" xr:uid="{96D8D42E-7949-4492-8E13-445952546487}">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22727F57-BF7D-4E43-9593-49D480A2B8C6}">
            <x14:dataBar>
              <x14:cfvo type="min"/>
              <x14:cfvo type="max"/>
              <x14:negativeFillColor auto="1"/>
              <x14:axisColor auto="1"/>
            </x14:dataBar>
          </x14:cfRule>
          <xm:sqref>F2:F7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4"/>
  <sheetViews>
    <sheetView showGridLines="0" workbookViewId="0">
      <pane ySplit="1" topLeftCell="A2" activePane="bottomLeft" state="frozen"/>
      <selection pane="bottomLeft" activeCell="A2" sqref="A2"/>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 min="14" max="14" width="220" customWidth="1"/>
  </cols>
  <sheetData>
    <row r="1" spans="1:14" ht="34" customHeight="1">
      <c r="A1" s="6" t="s">
        <v>0</v>
      </c>
      <c r="B1" s="6" t="s">
        <v>1</v>
      </c>
      <c r="C1" s="6" t="s">
        <v>2</v>
      </c>
      <c r="D1" s="6" t="s">
        <v>3</v>
      </c>
      <c r="E1" s="6" t="s">
        <v>4</v>
      </c>
      <c r="F1" s="6" t="s">
        <v>789</v>
      </c>
      <c r="G1" s="6" t="s">
        <v>5</v>
      </c>
      <c r="H1" s="6" t="s">
        <v>6</v>
      </c>
      <c r="I1" s="6" t="s">
        <v>7</v>
      </c>
      <c r="J1" s="6" t="s">
        <v>8</v>
      </c>
      <c r="K1" s="6" t="s">
        <v>9</v>
      </c>
      <c r="L1" s="6" t="s">
        <v>10</v>
      </c>
      <c r="M1" s="6" t="s">
        <v>11</v>
      </c>
      <c r="N1" s="1" t="s">
        <v>12</v>
      </c>
    </row>
    <row r="2" spans="1:14" ht="230" customHeight="1">
      <c r="A2" s="7">
        <v>1</v>
      </c>
      <c r="B2" s="7" t="s">
        <v>72</v>
      </c>
      <c r="C2" s="7" t="s">
        <v>554</v>
      </c>
      <c r="D2" s="117" t="s">
        <v>13</v>
      </c>
      <c r="E2" s="9">
        <v>46241</v>
      </c>
      <c r="F2" s="9" t="s">
        <v>555</v>
      </c>
      <c r="G2" s="102">
        <v>0.55000000000000004</v>
      </c>
      <c r="H2" s="24" t="s">
        <v>556</v>
      </c>
      <c r="I2" s="24" t="s">
        <v>557</v>
      </c>
      <c r="J2" s="24" t="s">
        <v>558</v>
      </c>
      <c r="K2" s="24" t="s">
        <v>559</v>
      </c>
      <c r="L2" s="24" t="s">
        <v>560</v>
      </c>
      <c r="M2" s="24" t="s">
        <v>561</v>
      </c>
      <c r="N2" s="21" t="s">
        <v>562</v>
      </c>
    </row>
    <row r="3" spans="1:14" ht="245" customHeight="1">
      <c r="A3" s="7">
        <v>2</v>
      </c>
      <c r="B3" s="7" t="s">
        <v>427</v>
      </c>
      <c r="C3" s="7" t="s">
        <v>563</v>
      </c>
      <c r="D3" s="117" t="s">
        <v>13</v>
      </c>
      <c r="E3" s="9">
        <v>46251</v>
      </c>
      <c r="F3" s="9" t="s">
        <v>564</v>
      </c>
      <c r="G3" s="102">
        <v>0.4</v>
      </c>
      <c r="H3" s="24" t="s">
        <v>565</v>
      </c>
      <c r="I3" s="24" t="s">
        <v>566</v>
      </c>
      <c r="J3" s="24" t="s">
        <v>567</v>
      </c>
      <c r="K3" s="24" t="s">
        <v>568</v>
      </c>
      <c r="L3" s="24" t="s">
        <v>569</v>
      </c>
      <c r="M3" s="24" t="s">
        <v>570</v>
      </c>
      <c r="N3" s="21" t="s">
        <v>571</v>
      </c>
    </row>
    <row r="4" spans="1:14" ht="135" customHeight="1">
      <c r="A4" s="7">
        <v>3</v>
      </c>
      <c r="B4" s="7" t="s">
        <v>74</v>
      </c>
      <c r="C4" s="7" t="s">
        <v>845</v>
      </c>
      <c r="D4" s="118" t="s">
        <v>13</v>
      </c>
      <c r="E4" s="9">
        <v>46289</v>
      </c>
      <c r="F4" s="9" t="s">
        <v>846</v>
      </c>
      <c r="G4" s="102">
        <v>0.85</v>
      </c>
      <c r="H4" s="24" t="s">
        <v>847</v>
      </c>
      <c r="I4" s="24" t="s">
        <v>848</v>
      </c>
      <c r="J4" s="24" t="s">
        <v>849</v>
      </c>
      <c r="K4" s="24" t="s">
        <v>850</v>
      </c>
      <c r="L4" s="24" t="s">
        <v>851</v>
      </c>
      <c r="M4" s="24" t="s">
        <v>852</v>
      </c>
      <c r="N4" s="21" t="s">
        <v>853</v>
      </c>
    </row>
    <row r="5" spans="1:14" ht="15" customHeight="1">
      <c r="A5" s="7">
        <v>4</v>
      </c>
      <c r="B5" s="8" t="s">
        <v>75</v>
      </c>
      <c r="C5" s="7" t="s">
        <v>76</v>
      </c>
      <c r="D5" s="118" t="s">
        <v>13</v>
      </c>
      <c r="E5" s="9" t="s">
        <v>14</v>
      </c>
      <c r="F5" s="9" t="s">
        <v>14</v>
      </c>
      <c r="G5" s="102">
        <v>1</v>
      </c>
      <c r="H5" s="8" t="s">
        <v>77</v>
      </c>
      <c r="I5" s="8" t="s">
        <v>78</v>
      </c>
      <c r="J5" s="8" t="s">
        <v>79</v>
      </c>
      <c r="K5" s="8" t="s">
        <v>73</v>
      </c>
      <c r="L5" s="8" t="s">
        <v>80</v>
      </c>
      <c r="M5" s="8" t="s">
        <v>81</v>
      </c>
      <c r="N5" s="4" t="s">
        <v>16</v>
      </c>
    </row>
    <row r="6" spans="1:14" ht="15" customHeight="1">
      <c r="A6" s="7">
        <v>5</v>
      </c>
      <c r="B6" s="8" t="s">
        <v>82</v>
      </c>
      <c r="C6" s="7" t="s">
        <v>76</v>
      </c>
      <c r="D6" s="118" t="s">
        <v>13</v>
      </c>
      <c r="E6" s="9" t="s">
        <v>14</v>
      </c>
      <c r="F6" s="9" t="s">
        <v>572</v>
      </c>
      <c r="G6" s="102">
        <v>1</v>
      </c>
      <c r="H6" s="8" t="s">
        <v>83</v>
      </c>
      <c r="I6" s="8" t="s">
        <v>84</v>
      </c>
      <c r="J6" s="8" t="s">
        <v>85</v>
      </c>
      <c r="K6" s="8" t="s">
        <v>73</v>
      </c>
      <c r="L6" s="8" t="s">
        <v>86</v>
      </c>
      <c r="M6" s="8" t="s">
        <v>87</v>
      </c>
      <c r="N6" s="4" t="s">
        <v>16</v>
      </c>
    </row>
    <row r="7" spans="1:14" ht="135" customHeight="1">
      <c r="A7" s="7">
        <v>6</v>
      </c>
      <c r="B7" s="7" t="s">
        <v>88</v>
      </c>
      <c r="C7" s="7" t="s">
        <v>854</v>
      </c>
      <c r="D7" s="118" t="s">
        <v>13</v>
      </c>
      <c r="E7" s="9" t="s">
        <v>14</v>
      </c>
      <c r="F7" s="9" t="s">
        <v>855</v>
      </c>
      <c r="G7" s="102">
        <v>0.68</v>
      </c>
      <c r="H7" s="24" t="s">
        <v>856</v>
      </c>
      <c r="I7" s="24" t="s">
        <v>857</v>
      </c>
      <c r="J7" s="24" t="s">
        <v>858</v>
      </c>
      <c r="K7" s="24" t="s">
        <v>859</v>
      </c>
      <c r="L7" s="24" t="s">
        <v>860</v>
      </c>
      <c r="M7" s="24" t="s">
        <v>861</v>
      </c>
      <c r="N7" s="21" t="s">
        <v>853</v>
      </c>
    </row>
    <row r="8" spans="1:14" ht="26.5" customHeight="1">
      <c r="A8" s="7">
        <v>7</v>
      </c>
      <c r="B8" s="8" t="s">
        <v>89</v>
      </c>
      <c r="C8" s="7" t="s">
        <v>18</v>
      </c>
      <c r="D8" s="119" t="s">
        <v>22</v>
      </c>
      <c r="E8" s="9" t="s">
        <v>14</v>
      </c>
      <c r="F8" s="9" t="s">
        <v>14</v>
      </c>
      <c r="G8" s="102">
        <v>0.9</v>
      </c>
      <c r="H8" s="8" t="s">
        <v>90</v>
      </c>
      <c r="I8" s="8" t="s">
        <v>91</v>
      </c>
      <c r="J8" s="8" t="s">
        <v>92</v>
      </c>
      <c r="K8" s="8" t="s">
        <v>73</v>
      </c>
      <c r="L8" s="8" t="s">
        <v>93</v>
      </c>
      <c r="M8" s="8" t="s">
        <v>94</v>
      </c>
      <c r="N8" s="4" t="s">
        <v>16</v>
      </c>
    </row>
    <row r="9" spans="1:14" ht="26.5" customHeight="1">
      <c r="A9" s="7">
        <v>8</v>
      </c>
      <c r="B9" s="8" t="s">
        <v>95</v>
      </c>
      <c r="C9" s="7" t="s">
        <v>18</v>
      </c>
      <c r="D9" s="119" t="s">
        <v>22</v>
      </c>
      <c r="E9" s="9" t="s">
        <v>14</v>
      </c>
      <c r="F9" s="9">
        <v>46318</v>
      </c>
      <c r="G9" s="102">
        <v>0.8</v>
      </c>
      <c r="H9" s="8" t="s">
        <v>96</v>
      </c>
      <c r="I9" s="8" t="s">
        <v>97</v>
      </c>
      <c r="J9" s="8" t="s">
        <v>98</v>
      </c>
      <c r="K9" s="8" t="s">
        <v>73</v>
      </c>
      <c r="L9" s="8" t="s">
        <v>99</v>
      </c>
      <c r="M9" s="8" t="s">
        <v>100</v>
      </c>
      <c r="N9" s="4" t="s">
        <v>16</v>
      </c>
    </row>
    <row r="10" spans="1:14" ht="112" customHeight="1">
      <c r="A10" s="7">
        <v>9</v>
      </c>
      <c r="B10" s="7" t="s">
        <v>387</v>
      </c>
      <c r="C10" s="41" t="s">
        <v>862</v>
      </c>
      <c r="D10" s="119" t="s">
        <v>22</v>
      </c>
      <c r="E10" s="9" t="s">
        <v>14</v>
      </c>
      <c r="F10" s="9" t="s">
        <v>863</v>
      </c>
      <c r="G10" s="102">
        <v>0.82</v>
      </c>
      <c r="H10" s="24" t="s">
        <v>864</v>
      </c>
      <c r="I10" s="24" t="s">
        <v>865</v>
      </c>
      <c r="J10" s="24" t="s">
        <v>866</v>
      </c>
      <c r="K10" s="24" t="s">
        <v>573</v>
      </c>
      <c r="L10" s="24" t="s">
        <v>867</v>
      </c>
      <c r="M10" s="24" t="s">
        <v>868</v>
      </c>
      <c r="N10" s="21" t="s">
        <v>869</v>
      </c>
    </row>
    <row r="11" spans="1:14" ht="26.5" customHeight="1">
      <c r="A11" s="7">
        <v>10</v>
      </c>
      <c r="B11" s="8" t="s">
        <v>102</v>
      </c>
      <c r="C11" s="7" t="s">
        <v>76</v>
      </c>
      <c r="D11" s="119" t="s">
        <v>22</v>
      </c>
      <c r="E11" s="9" t="s">
        <v>14</v>
      </c>
      <c r="F11" s="9" t="s">
        <v>572</v>
      </c>
      <c r="G11" s="102">
        <v>1</v>
      </c>
      <c r="H11" s="8" t="s">
        <v>103</v>
      </c>
      <c r="I11" s="8" t="s">
        <v>104</v>
      </c>
      <c r="J11" s="8" t="s">
        <v>105</v>
      </c>
      <c r="K11" s="8" t="s">
        <v>73</v>
      </c>
      <c r="L11" s="8" t="s">
        <v>106</v>
      </c>
      <c r="M11" s="8" t="s">
        <v>107</v>
      </c>
      <c r="N11" s="4" t="s">
        <v>101</v>
      </c>
    </row>
    <row r="12" spans="1:14" ht="39.65" customHeight="1">
      <c r="A12" s="7">
        <v>11</v>
      </c>
      <c r="B12" s="8" t="s">
        <v>108</v>
      </c>
      <c r="C12" s="7" t="s">
        <v>76</v>
      </c>
      <c r="D12" s="119" t="s">
        <v>22</v>
      </c>
      <c r="E12" s="9" t="s">
        <v>14</v>
      </c>
      <c r="F12" s="9" t="s">
        <v>572</v>
      </c>
      <c r="G12" s="102">
        <v>1</v>
      </c>
      <c r="H12" s="8" t="s">
        <v>109</v>
      </c>
      <c r="I12" s="8" t="s">
        <v>110</v>
      </c>
      <c r="J12" s="8" t="s">
        <v>111</v>
      </c>
      <c r="K12" s="8" t="s">
        <v>73</v>
      </c>
      <c r="L12" s="8" t="s">
        <v>112</v>
      </c>
      <c r="M12" s="8" t="s">
        <v>113</v>
      </c>
      <c r="N12" s="4" t="s">
        <v>101</v>
      </c>
    </row>
    <row r="13" spans="1:14" ht="26.5" customHeight="1">
      <c r="A13" s="7">
        <v>12</v>
      </c>
      <c r="B13" s="8" t="s">
        <v>114</v>
      </c>
      <c r="C13" s="7" t="s">
        <v>115</v>
      </c>
      <c r="D13" s="118" t="s">
        <v>13</v>
      </c>
      <c r="E13" s="9" t="s">
        <v>14</v>
      </c>
      <c r="F13" s="9" t="s">
        <v>14</v>
      </c>
      <c r="G13" s="102">
        <v>0.75</v>
      </c>
      <c r="H13" s="8" t="s">
        <v>116</v>
      </c>
      <c r="I13" s="8" t="s">
        <v>117</v>
      </c>
      <c r="J13" s="8" t="s">
        <v>118</v>
      </c>
      <c r="K13" s="8" t="s">
        <v>73</v>
      </c>
      <c r="L13" s="8" t="s">
        <v>119</v>
      </c>
      <c r="M13" s="8" t="s">
        <v>120</v>
      </c>
      <c r="N13" s="4" t="s">
        <v>101</v>
      </c>
    </row>
    <row r="14" spans="1:14" ht="26.5" customHeight="1">
      <c r="A14" s="7">
        <v>13</v>
      </c>
      <c r="B14" s="8" t="s">
        <v>121</v>
      </c>
      <c r="C14" s="7" t="s">
        <v>76</v>
      </c>
      <c r="D14" s="119" t="s">
        <v>22</v>
      </c>
      <c r="E14" s="9" t="s">
        <v>14</v>
      </c>
      <c r="F14" s="9" t="s">
        <v>572</v>
      </c>
      <c r="G14" s="102">
        <v>1</v>
      </c>
      <c r="H14" s="8" t="s">
        <v>122</v>
      </c>
      <c r="I14" s="8" t="s">
        <v>123</v>
      </c>
      <c r="J14" s="8" t="s">
        <v>124</v>
      </c>
      <c r="K14" s="8" t="s">
        <v>73</v>
      </c>
      <c r="L14" s="8" t="s">
        <v>125</v>
      </c>
      <c r="M14" s="8" t="s">
        <v>126</v>
      </c>
      <c r="N14" s="4" t="s">
        <v>101</v>
      </c>
    </row>
    <row r="15" spans="1:14" ht="26.5" customHeight="1">
      <c r="A15" s="7">
        <v>14</v>
      </c>
      <c r="B15" s="8" t="s">
        <v>127</v>
      </c>
      <c r="C15" s="7" t="s">
        <v>76</v>
      </c>
      <c r="D15" s="119" t="s">
        <v>22</v>
      </c>
      <c r="E15" s="9" t="s">
        <v>14</v>
      </c>
      <c r="F15" s="9" t="s">
        <v>572</v>
      </c>
      <c r="G15" s="102">
        <v>1</v>
      </c>
      <c r="H15" s="8" t="s">
        <v>128</v>
      </c>
      <c r="I15" s="8" t="s">
        <v>129</v>
      </c>
      <c r="J15" s="8" t="s">
        <v>130</v>
      </c>
      <c r="K15" s="8" t="s">
        <v>73</v>
      </c>
      <c r="L15" s="8" t="s">
        <v>131</v>
      </c>
      <c r="M15" s="8" t="s">
        <v>132</v>
      </c>
      <c r="N15" s="4" t="s">
        <v>101</v>
      </c>
    </row>
    <row r="16" spans="1:14" ht="26.5" customHeight="1">
      <c r="A16" s="7">
        <v>15</v>
      </c>
      <c r="B16" s="8" t="s">
        <v>133</v>
      </c>
      <c r="C16" s="7" t="s">
        <v>18</v>
      </c>
      <c r="D16" s="118" t="s">
        <v>13</v>
      </c>
      <c r="E16" s="9" t="s">
        <v>14</v>
      </c>
      <c r="F16" s="9" t="s">
        <v>14</v>
      </c>
      <c r="G16" s="102">
        <v>0.65</v>
      </c>
      <c r="H16" s="8" t="s">
        <v>134</v>
      </c>
      <c r="I16" s="8" t="s">
        <v>135</v>
      </c>
      <c r="J16" s="8" t="s">
        <v>136</v>
      </c>
      <c r="K16" s="8" t="s">
        <v>73</v>
      </c>
      <c r="L16" s="8" t="s">
        <v>137</v>
      </c>
      <c r="M16" s="8" t="s">
        <v>138</v>
      </c>
      <c r="N16" s="4" t="s">
        <v>101</v>
      </c>
    </row>
    <row r="17" spans="1:14" ht="26.5" customHeight="1">
      <c r="A17" s="7">
        <v>16</v>
      </c>
      <c r="B17" s="8" t="s">
        <v>139</v>
      </c>
      <c r="C17" s="7" t="s">
        <v>76</v>
      </c>
      <c r="D17" s="119" t="s">
        <v>22</v>
      </c>
      <c r="E17" s="9" t="s">
        <v>14</v>
      </c>
      <c r="F17" s="9" t="s">
        <v>572</v>
      </c>
      <c r="G17" s="102">
        <v>1</v>
      </c>
      <c r="H17" s="8" t="s">
        <v>140</v>
      </c>
      <c r="I17" s="8" t="s">
        <v>141</v>
      </c>
      <c r="J17" s="8" t="s">
        <v>142</v>
      </c>
      <c r="K17" s="8" t="s">
        <v>73</v>
      </c>
      <c r="L17" s="8" t="s">
        <v>143</v>
      </c>
      <c r="M17" s="8" t="s">
        <v>144</v>
      </c>
      <c r="N17" s="4" t="s">
        <v>101</v>
      </c>
    </row>
    <row r="18" spans="1:14" ht="120" customHeight="1">
      <c r="A18" s="7">
        <v>17</v>
      </c>
      <c r="B18" s="7" t="s">
        <v>870</v>
      </c>
      <c r="C18" s="18" t="s">
        <v>871</v>
      </c>
      <c r="D18" s="118" t="s">
        <v>13</v>
      </c>
      <c r="E18" s="9" t="s">
        <v>14</v>
      </c>
      <c r="F18" s="9" t="s">
        <v>872</v>
      </c>
      <c r="G18" s="102">
        <v>0.75</v>
      </c>
      <c r="H18" s="24" t="s">
        <v>873</v>
      </c>
      <c r="I18" s="24" t="s">
        <v>874</v>
      </c>
      <c r="J18" s="24" t="s">
        <v>875</v>
      </c>
      <c r="K18" s="24" t="s">
        <v>876</v>
      </c>
      <c r="L18" s="24" t="s">
        <v>877</v>
      </c>
      <c r="M18" s="24" t="s">
        <v>878</v>
      </c>
      <c r="N18" s="21" t="s">
        <v>879</v>
      </c>
    </row>
    <row r="19" spans="1:14" ht="158.5" customHeight="1">
      <c r="A19" s="7">
        <v>18</v>
      </c>
      <c r="B19" s="8" t="s">
        <v>145</v>
      </c>
      <c r="C19" s="7" t="s">
        <v>76</v>
      </c>
      <c r="D19" s="119" t="s">
        <v>22</v>
      </c>
      <c r="E19" s="9" t="s">
        <v>14</v>
      </c>
      <c r="F19" s="9" t="s">
        <v>572</v>
      </c>
      <c r="G19" s="102">
        <v>1</v>
      </c>
      <c r="H19" s="8" t="s">
        <v>146</v>
      </c>
      <c r="I19" s="8" t="s">
        <v>147</v>
      </c>
      <c r="J19" s="8" t="s">
        <v>148</v>
      </c>
      <c r="K19" s="8" t="s">
        <v>73</v>
      </c>
      <c r="L19" s="8" t="s">
        <v>26</v>
      </c>
      <c r="M19" s="8" t="s">
        <v>27</v>
      </c>
      <c r="N19" s="4" t="s">
        <v>28</v>
      </c>
    </row>
    <row r="20" spans="1:14" ht="96" customHeight="1">
      <c r="A20" s="11">
        <v>20</v>
      </c>
      <c r="B20" s="12" t="s">
        <v>149</v>
      </c>
      <c r="C20" s="12" t="s">
        <v>76</v>
      </c>
      <c r="D20" s="119" t="s">
        <v>22</v>
      </c>
      <c r="E20" s="13" t="s">
        <v>14</v>
      </c>
      <c r="F20" s="13" t="s">
        <v>572</v>
      </c>
      <c r="G20" s="88">
        <v>1</v>
      </c>
      <c r="H20" s="12" t="s">
        <v>150</v>
      </c>
      <c r="I20" s="12" t="s">
        <v>151</v>
      </c>
      <c r="J20" s="12" t="s">
        <v>152</v>
      </c>
      <c r="K20" s="12" t="s">
        <v>153</v>
      </c>
      <c r="L20" s="12" t="s">
        <v>154</v>
      </c>
      <c r="M20" s="12" t="s">
        <v>155</v>
      </c>
      <c r="N20" s="12" t="s">
        <v>36</v>
      </c>
    </row>
    <row r="21" spans="1:14" ht="145" customHeight="1">
      <c r="A21" s="11">
        <v>21</v>
      </c>
      <c r="B21" s="11" t="s">
        <v>430</v>
      </c>
      <c r="C21" s="18" t="s">
        <v>574</v>
      </c>
      <c r="D21" s="118" t="s">
        <v>13</v>
      </c>
      <c r="E21" s="13">
        <v>46296</v>
      </c>
      <c r="F21" s="13" t="s">
        <v>575</v>
      </c>
      <c r="G21" s="88">
        <v>0.85</v>
      </c>
      <c r="H21" s="12" t="s">
        <v>576</v>
      </c>
      <c r="I21" s="12" t="s">
        <v>577</v>
      </c>
      <c r="J21" s="12" t="s">
        <v>578</v>
      </c>
      <c r="K21" s="12" t="s">
        <v>579</v>
      </c>
      <c r="L21" s="12" t="s">
        <v>580</v>
      </c>
      <c r="M21" s="12" t="s">
        <v>581</v>
      </c>
      <c r="N21" s="12" t="s">
        <v>582</v>
      </c>
    </row>
    <row r="22" spans="1:14" ht="96" customHeight="1">
      <c r="A22" s="11">
        <v>22</v>
      </c>
      <c r="B22" s="12" t="s">
        <v>156</v>
      </c>
      <c r="C22" s="17" t="s">
        <v>76</v>
      </c>
      <c r="D22" s="119" t="s">
        <v>22</v>
      </c>
      <c r="E22" s="13" t="s">
        <v>157</v>
      </c>
      <c r="F22" s="13" t="s">
        <v>572</v>
      </c>
      <c r="G22" s="88">
        <v>1</v>
      </c>
      <c r="H22" s="12" t="s">
        <v>158</v>
      </c>
      <c r="I22" s="12" t="s">
        <v>159</v>
      </c>
      <c r="J22" s="12" t="s">
        <v>160</v>
      </c>
      <c r="K22" s="12" t="s">
        <v>161</v>
      </c>
      <c r="L22" s="12" t="s">
        <v>162</v>
      </c>
      <c r="M22" s="12" t="s">
        <v>163</v>
      </c>
      <c r="N22" s="12" t="s">
        <v>36</v>
      </c>
    </row>
    <row r="23" spans="1:14" ht="112" customHeight="1">
      <c r="A23" s="11">
        <v>23</v>
      </c>
      <c r="B23" s="12" t="s">
        <v>880</v>
      </c>
      <c r="C23" s="42" t="s">
        <v>881</v>
      </c>
      <c r="D23" s="118" t="s">
        <v>13</v>
      </c>
      <c r="E23" s="13" t="s">
        <v>882</v>
      </c>
      <c r="F23" s="13" t="s">
        <v>883</v>
      </c>
      <c r="G23" s="88">
        <v>0.75</v>
      </c>
      <c r="H23" s="12" t="s">
        <v>884</v>
      </c>
      <c r="I23" s="12" t="s">
        <v>885</v>
      </c>
      <c r="J23" s="12" t="s">
        <v>886</v>
      </c>
      <c r="K23" s="12" t="s">
        <v>887</v>
      </c>
      <c r="L23" s="12" t="s">
        <v>888</v>
      </c>
      <c r="M23" s="12" t="s">
        <v>889</v>
      </c>
      <c r="N23" s="12" t="s">
        <v>890</v>
      </c>
    </row>
    <row r="24" spans="1:14" ht="96" customHeight="1">
      <c r="A24" s="11">
        <v>24</v>
      </c>
      <c r="B24" s="12" t="s">
        <v>165</v>
      </c>
      <c r="C24" s="17" t="s">
        <v>166</v>
      </c>
      <c r="D24" s="118" t="s">
        <v>13</v>
      </c>
      <c r="E24" s="13" t="s">
        <v>14</v>
      </c>
      <c r="F24" s="13" t="s">
        <v>14</v>
      </c>
      <c r="G24" s="88">
        <v>0.7</v>
      </c>
      <c r="H24" s="12" t="s">
        <v>167</v>
      </c>
      <c r="I24" s="12" t="s">
        <v>168</v>
      </c>
      <c r="J24" s="12" t="s">
        <v>169</v>
      </c>
      <c r="K24" s="12" t="s">
        <v>170</v>
      </c>
      <c r="L24" s="12" t="s">
        <v>171</v>
      </c>
      <c r="M24" s="12" t="s">
        <v>172</v>
      </c>
      <c r="N24" s="12" t="s">
        <v>36</v>
      </c>
    </row>
    <row r="25" spans="1:14" ht="96" customHeight="1">
      <c r="A25" s="11">
        <v>25</v>
      </c>
      <c r="B25" s="12" t="s">
        <v>173</v>
      </c>
      <c r="C25" s="22" t="s">
        <v>174</v>
      </c>
      <c r="D25" s="118" t="s">
        <v>13</v>
      </c>
      <c r="E25" s="13" t="s">
        <v>175</v>
      </c>
      <c r="F25" s="13" t="s">
        <v>14</v>
      </c>
      <c r="G25" s="88">
        <v>0.7</v>
      </c>
      <c r="H25" s="12" t="s">
        <v>176</v>
      </c>
      <c r="I25" s="12" t="s">
        <v>177</v>
      </c>
      <c r="J25" s="12" t="s">
        <v>178</v>
      </c>
      <c r="K25" s="12" t="s">
        <v>179</v>
      </c>
      <c r="L25" s="12" t="s">
        <v>180</v>
      </c>
      <c r="M25" s="12" t="s">
        <v>181</v>
      </c>
      <c r="N25" s="12" t="s">
        <v>36</v>
      </c>
    </row>
    <row r="26" spans="1:14" ht="96" customHeight="1">
      <c r="A26" s="11">
        <v>26</v>
      </c>
      <c r="B26" s="12" t="s">
        <v>182</v>
      </c>
      <c r="C26" s="22" t="s">
        <v>18</v>
      </c>
      <c r="D26" s="118" t="s">
        <v>13</v>
      </c>
      <c r="E26" s="13" t="s">
        <v>14</v>
      </c>
      <c r="F26" s="13" t="s">
        <v>14</v>
      </c>
      <c r="G26" s="88">
        <v>0.7</v>
      </c>
      <c r="H26" s="12" t="s">
        <v>183</v>
      </c>
      <c r="I26" s="12" t="s">
        <v>388</v>
      </c>
      <c r="J26" s="12" t="s">
        <v>389</v>
      </c>
      <c r="K26" s="12" t="s">
        <v>184</v>
      </c>
      <c r="L26" s="12" t="s">
        <v>185</v>
      </c>
      <c r="M26" s="12" t="s">
        <v>186</v>
      </c>
      <c r="N26" s="12" t="s">
        <v>390</v>
      </c>
    </row>
    <row r="27" spans="1:14" ht="112" customHeight="1">
      <c r="A27" s="25">
        <v>27</v>
      </c>
      <c r="B27" s="25" t="s">
        <v>187</v>
      </c>
      <c r="C27" s="22" t="s">
        <v>891</v>
      </c>
      <c r="D27" s="118" t="s">
        <v>13</v>
      </c>
      <c r="E27" s="26" t="s">
        <v>584</v>
      </c>
      <c r="F27" s="26" t="s">
        <v>892</v>
      </c>
      <c r="G27" s="120">
        <v>0.75</v>
      </c>
      <c r="H27" s="27" t="s">
        <v>893</v>
      </c>
      <c r="I27" s="27" t="s">
        <v>894</v>
      </c>
      <c r="J27" s="27" t="s">
        <v>895</v>
      </c>
      <c r="K27" s="27" t="s">
        <v>896</v>
      </c>
      <c r="L27" s="27" t="s">
        <v>897</v>
      </c>
      <c r="M27" s="27" t="s">
        <v>898</v>
      </c>
      <c r="N27" s="27" t="s">
        <v>899</v>
      </c>
    </row>
    <row r="28" spans="1:14" ht="165" customHeight="1">
      <c r="A28" s="18">
        <v>28</v>
      </c>
      <c r="B28" s="18" t="s">
        <v>900</v>
      </c>
      <c r="C28" s="16" t="s">
        <v>901</v>
      </c>
      <c r="D28" s="118" t="s">
        <v>13</v>
      </c>
      <c r="E28" s="19" t="s">
        <v>14</v>
      </c>
      <c r="F28" s="18" t="s">
        <v>902</v>
      </c>
      <c r="G28" s="48">
        <v>0.7</v>
      </c>
      <c r="H28" s="21" t="s">
        <v>903</v>
      </c>
      <c r="I28" s="21" t="s">
        <v>904</v>
      </c>
      <c r="J28" s="21" t="s">
        <v>905</v>
      </c>
      <c r="K28" s="21" t="s">
        <v>906</v>
      </c>
      <c r="L28" s="21" t="s">
        <v>907</v>
      </c>
      <c r="M28" s="21" t="s">
        <v>908</v>
      </c>
      <c r="N28" s="21" t="s">
        <v>909</v>
      </c>
    </row>
    <row r="29" spans="1:14">
      <c r="A29" s="15">
        <v>29</v>
      </c>
      <c r="B29" s="15" t="s">
        <v>391</v>
      </c>
      <c r="C29" s="15" t="s">
        <v>76</v>
      </c>
      <c r="D29" s="119" t="s">
        <v>22</v>
      </c>
      <c r="E29" s="43" t="s">
        <v>14</v>
      </c>
      <c r="F29" s="15" t="s">
        <v>572</v>
      </c>
      <c r="G29" s="121">
        <v>1</v>
      </c>
      <c r="H29" s="15" t="s">
        <v>392</v>
      </c>
      <c r="I29" s="15" t="s">
        <v>393</v>
      </c>
      <c r="J29" s="15" t="s">
        <v>394</v>
      </c>
      <c r="K29" s="15" t="s">
        <v>395</v>
      </c>
      <c r="L29" s="15" t="s">
        <v>396</v>
      </c>
      <c r="M29" s="15" t="s">
        <v>397</v>
      </c>
      <c r="N29" s="15" t="s">
        <v>398</v>
      </c>
    </row>
    <row r="30" spans="1:14">
      <c r="A30" s="15">
        <v>30</v>
      </c>
      <c r="B30" s="15" t="s">
        <v>399</v>
      </c>
      <c r="C30" s="15" t="s">
        <v>76</v>
      </c>
      <c r="D30" s="119" t="s">
        <v>22</v>
      </c>
      <c r="E30" s="43" t="s">
        <v>14</v>
      </c>
      <c r="F30" s="15" t="s">
        <v>572</v>
      </c>
      <c r="G30" s="121">
        <v>1</v>
      </c>
      <c r="H30" s="15" t="s">
        <v>431</v>
      </c>
      <c r="I30" s="15" t="s">
        <v>400</v>
      </c>
      <c r="J30" s="15" t="s">
        <v>401</v>
      </c>
      <c r="K30" s="15" t="s">
        <v>402</v>
      </c>
      <c r="L30" s="15" t="s">
        <v>403</v>
      </c>
      <c r="M30" s="15" t="s">
        <v>404</v>
      </c>
      <c r="N30" s="15" t="s">
        <v>398</v>
      </c>
    </row>
    <row r="31" spans="1:14">
      <c r="A31" s="15">
        <v>31</v>
      </c>
      <c r="B31" s="15" t="s">
        <v>405</v>
      </c>
      <c r="C31" s="15" t="s">
        <v>76</v>
      </c>
      <c r="D31" s="119" t="s">
        <v>22</v>
      </c>
      <c r="E31" s="43" t="s">
        <v>14</v>
      </c>
      <c r="F31" s="15" t="s">
        <v>572</v>
      </c>
      <c r="G31" s="121">
        <v>1</v>
      </c>
      <c r="H31" s="15" t="s">
        <v>406</v>
      </c>
      <c r="I31" s="15" t="s">
        <v>407</v>
      </c>
      <c r="J31" s="15" t="s">
        <v>408</v>
      </c>
      <c r="K31" s="15" t="s">
        <v>409</v>
      </c>
      <c r="L31" s="15" t="s">
        <v>410</v>
      </c>
      <c r="M31" s="15" t="s">
        <v>411</v>
      </c>
      <c r="N31" s="15" t="s">
        <v>398</v>
      </c>
    </row>
    <row r="32" spans="1:14">
      <c r="A32" s="15">
        <v>32</v>
      </c>
      <c r="B32" s="15" t="s">
        <v>412</v>
      </c>
      <c r="C32" s="15" t="s">
        <v>76</v>
      </c>
      <c r="D32" s="119" t="s">
        <v>22</v>
      </c>
      <c r="E32" s="43" t="s">
        <v>14</v>
      </c>
      <c r="F32" s="15" t="s">
        <v>14</v>
      </c>
      <c r="G32" s="121">
        <v>0.6</v>
      </c>
      <c r="H32" s="15" t="s">
        <v>413</v>
      </c>
      <c r="I32" s="15" t="s">
        <v>414</v>
      </c>
      <c r="J32" s="15" t="s">
        <v>415</v>
      </c>
      <c r="K32" s="15" t="s">
        <v>416</v>
      </c>
      <c r="L32" s="15" t="s">
        <v>417</v>
      </c>
      <c r="M32" s="15" t="s">
        <v>418</v>
      </c>
      <c r="N32" s="15" t="s">
        <v>398</v>
      </c>
    </row>
    <row r="33" spans="1:14">
      <c r="A33" s="15">
        <v>33</v>
      </c>
      <c r="B33" s="15" t="s">
        <v>419</v>
      </c>
      <c r="C33" s="15" t="s">
        <v>420</v>
      </c>
      <c r="D33" s="119" t="s">
        <v>22</v>
      </c>
      <c r="E33" s="43" t="s">
        <v>14</v>
      </c>
      <c r="F33" s="15" t="s">
        <v>14</v>
      </c>
      <c r="G33" s="121">
        <v>1</v>
      </c>
      <c r="H33" s="15" t="s">
        <v>421</v>
      </c>
      <c r="I33" s="15" t="s">
        <v>422</v>
      </c>
      <c r="J33" s="15" t="s">
        <v>423</v>
      </c>
      <c r="K33" s="15" t="s">
        <v>424</v>
      </c>
      <c r="L33" s="15" t="s">
        <v>425</v>
      </c>
      <c r="M33" s="15" t="s">
        <v>426</v>
      </c>
      <c r="N33" s="15" t="s">
        <v>398</v>
      </c>
    </row>
    <row r="34" spans="1:14" ht="130" customHeight="1">
      <c r="A34" s="18">
        <v>34</v>
      </c>
      <c r="B34" s="18" t="s">
        <v>432</v>
      </c>
      <c r="C34" s="18" t="s">
        <v>433</v>
      </c>
      <c r="D34" s="118" t="s">
        <v>13</v>
      </c>
      <c r="E34" s="19">
        <v>46297</v>
      </c>
      <c r="F34" s="18" t="s">
        <v>14</v>
      </c>
      <c r="G34" s="48">
        <v>0.7</v>
      </c>
      <c r="H34" s="21" t="s">
        <v>434</v>
      </c>
      <c r="I34" s="21" t="s">
        <v>435</v>
      </c>
      <c r="J34" s="21" t="s">
        <v>436</v>
      </c>
      <c r="K34" s="21" t="s">
        <v>437</v>
      </c>
      <c r="L34" s="21" t="s">
        <v>438</v>
      </c>
      <c r="M34" s="21" t="s">
        <v>439</v>
      </c>
      <c r="N34" s="21" t="s">
        <v>429</v>
      </c>
    </row>
    <row r="35" spans="1:14" ht="112" customHeight="1">
      <c r="A35" s="18">
        <v>35</v>
      </c>
      <c r="B35" s="18" t="s">
        <v>440</v>
      </c>
      <c r="C35" s="44" t="s">
        <v>910</v>
      </c>
      <c r="D35" s="118" t="s">
        <v>13</v>
      </c>
      <c r="E35" s="19" t="s">
        <v>882</v>
      </c>
      <c r="F35" s="19" t="s">
        <v>911</v>
      </c>
      <c r="G35" s="48">
        <v>0.7</v>
      </c>
      <c r="H35" s="21" t="s">
        <v>912</v>
      </c>
      <c r="I35" s="21" t="s">
        <v>913</v>
      </c>
      <c r="J35" s="21" t="s">
        <v>914</v>
      </c>
      <c r="K35" s="21" t="s">
        <v>915</v>
      </c>
      <c r="L35" s="21" t="s">
        <v>916</v>
      </c>
      <c r="M35" s="21" t="s">
        <v>917</v>
      </c>
      <c r="N35" s="21" t="s">
        <v>899</v>
      </c>
    </row>
    <row r="36" spans="1:14" ht="130" customHeight="1">
      <c r="A36" s="18">
        <v>36</v>
      </c>
      <c r="B36" s="18" t="s">
        <v>441</v>
      </c>
      <c r="C36" s="18" t="s">
        <v>442</v>
      </c>
      <c r="D36" s="118" t="s">
        <v>13</v>
      </c>
      <c r="E36" s="19">
        <v>46297</v>
      </c>
      <c r="F36" s="18" t="s">
        <v>14</v>
      </c>
      <c r="G36" s="48">
        <v>0.7</v>
      </c>
      <c r="H36" s="21" t="s">
        <v>443</v>
      </c>
      <c r="I36" s="21" t="s">
        <v>444</v>
      </c>
      <c r="J36" s="21" t="s">
        <v>445</v>
      </c>
      <c r="K36" s="21" t="s">
        <v>446</v>
      </c>
      <c r="L36" s="21" t="s">
        <v>447</v>
      </c>
      <c r="M36" s="21" t="s">
        <v>448</v>
      </c>
      <c r="N36" s="21" t="s">
        <v>449</v>
      </c>
    </row>
    <row r="37" spans="1:14" ht="112" customHeight="1">
      <c r="A37" s="18">
        <v>37</v>
      </c>
      <c r="B37" s="18" t="s">
        <v>450</v>
      </c>
      <c r="C37" s="44" t="s">
        <v>918</v>
      </c>
      <c r="D37" s="118" t="s">
        <v>13</v>
      </c>
      <c r="E37" s="19" t="s">
        <v>14</v>
      </c>
      <c r="F37" s="19" t="s">
        <v>919</v>
      </c>
      <c r="G37" s="48">
        <v>0.7</v>
      </c>
      <c r="H37" s="21" t="s">
        <v>920</v>
      </c>
      <c r="I37" s="21" t="s">
        <v>921</v>
      </c>
      <c r="J37" s="21" t="s">
        <v>922</v>
      </c>
      <c r="K37" s="21" t="s">
        <v>923</v>
      </c>
      <c r="L37" s="21" t="s">
        <v>924</v>
      </c>
      <c r="M37" s="21" t="s">
        <v>925</v>
      </c>
      <c r="N37" s="21" t="s">
        <v>869</v>
      </c>
    </row>
    <row r="38" spans="1:14" ht="130" customHeight="1">
      <c r="A38" s="18">
        <v>38</v>
      </c>
      <c r="B38" s="18" t="s">
        <v>451</v>
      </c>
      <c r="C38" s="18" t="s">
        <v>452</v>
      </c>
      <c r="D38" s="118" t="s">
        <v>13</v>
      </c>
      <c r="E38" s="19">
        <v>46297</v>
      </c>
      <c r="F38" s="18" t="s">
        <v>14</v>
      </c>
      <c r="G38" s="48">
        <v>0.7</v>
      </c>
      <c r="H38" s="21" t="s">
        <v>453</v>
      </c>
      <c r="I38" s="21" t="s">
        <v>454</v>
      </c>
      <c r="J38" s="21" t="s">
        <v>455</v>
      </c>
      <c r="K38" s="21" t="s">
        <v>456</v>
      </c>
      <c r="L38" s="21" t="s">
        <v>457</v>
      </c>
      <c r="M38" s="21" t="s">
        <v>458</v>
      </c>
      <c r="N38" s="21" t="s">
        <v>429</v>
      </c>
    </row>
    <row r="39" spans="1:14" ht="130" customHeight="1">
      <c r="A39" s="18">
        <v>39</v>
      </c>
      <c r="B39" s="18" t="s">
        <v>459</v>
      </c>
      <c r="C39" s="18" t="s">
        <v>76</v>
      </c>
      <c r="D39" s="119" t="s">
        <v>22</v>
      </c>
      <c r="E39" s="19">
        <v>46297</v>
      </c>
      <c r="F39" s="18" t="s">
        <v>572</v>
      </c>
      <c r="G39" s="48">
        <v>1</v>
      </c>
      <c r="H39" s="21" t="s">
        <v>460</v>
      </c>
      <c r="I39" s="21" t="s">
        <v>461</v>
      </c>
      <c r="J39" s="21" t="s">
        <v>462</v>
      </c>
      <c r="K39" s="21" t="s">
        <v>463</v>
      </c>
      <c r="L39" s="21" t="s">
        <v>464</v>
      </c>
      <c r="M39" s="21" t="s">
        <v>465</v>
      </c>
      <c r="N39" s="21" t="s">
        <v>429</v>
      </c>
    </row>
    <row r="40" spans="1:14" ht="130" customHeight="1">
      <c r="A40" s="18">
        <v>40</v>
      </c>
      <c r="B40" s="18" t="s">
        <v>466</v>
      </c>
      <c r="C40" s="18" t="s">
        <v>76</v>
      </c>
      <c r="D40" s="119" t="s">
        <v>22</v>
      </c>
      <c r="E40" s="19">
        <v>46297</v>
      </c>
      <c r="F40" s="18" t="s">
        <v>572</v>
      </c>
      <c r="G40" s="48">
        <v>1</v>
      </c>
      <c r="H40" s="21" t="s">
        <v>467</v>
      </c>
      <c r="I40" s="21" t="s">
        <v>468</v>
      </c>
      <c r="J40" s="21" t="s">
        <v>469</v>
      </c>
      <c r="K40" s="21" t="s">
        <v>470</v>
      </c>
      <c r="L40" s="21" t="s">
        <v>471</v>
      </c>
      <c r="M40" s="21" t="s">
        <v>472</v>
      </c>
      <c r="N40" s="21" t="s">
        <v>429</v>
      </c>
    </row>
    <row r="41" spans="1:14" ht="112" customHeight="1">
      <c r="A41" s="18">
        <v>41</v>
      </c>
      <c r="B41" s="18" t="s">
        <v>473</v>
      </c>
      <c r="C41" s="44" t="s">
        <v>926</v>
      </c>
      <c r="D41" s="119" t="s">
        <v>22</v>
      </c>
      <c r="E41" s="19" t="s">
        <v>14</v>
      </c>
      <c r="F41" s="19" t="s">
        <v>927</v>
      </c>
      <c r="G41" s="48">
        <v>0.75</v>
      </c>
      <c r="H41" s="21" t="s">
        <v>928</v>
      </c>
      <c r="I41" s="21" t="s">
        <v>929</v>
      </c>
      <c r="J41" s="21" t="s">
        <v>930</v>
      </c>
      <c r="K41" s="21" t="s">
        <v>931</v>
      </c>
      <c r="L41" s="21" t="s">
        <v>932</v>
      </c>
      <c r="M41" s="21" t="s">
        <v>933</v>
      </c>
      <c r="N41" s="21" t="s">
        <v>853</v>
      </c>
    </row>
    <row r="42" spans="1:14" ht="130" customHeight="1">
      <c r="A42" s="18">
        <v>42</v>
      </c>
      <c r="B42" s="18" t="s">
        <v>474</v>
      </c>
      <c r="C42" s="18" t="s">
        <v>934</v>
      </c>
      <c r="D42" s="118" t="s">
        <v>13</v>
      </c>
      <c r="E42" s="19" t="s">
        <v>14</v>
      </c>
      <c r="F42" s="18" t="s">
        <v>935</v>
      </c>
      <c r="G42" s="48">
        <v>0.7</v>
      </c>
      <c r="H42" s="21" t="s">
        <v>936</v>
      </c>
      <c r="I42" s="21" t="s">
        <v>937</v>
      </c>
      <c r="J42" s="21" t="s">
        <v>938</v>
      </c>
      <c r="K42" s="21" t="s">
        <v>939</v>
      </c>
      <c r="L42" s="21" t="s">
        <v>940</v>
      </c>
      <c r="M42" s="21" t="s">
        <v>941</v>
      </c>
      <c r="N42" s="21" t="s">
        <v>942</v>
      </c>
    </row>
    <row r="43" spans="1:14" ht="130" customHeight="1">
      <c r="A43" s="18">
        <v>43</v>
      </c>
      <c r="B43" s="18" t="s">
        <v>475</v>
      </c>
      <c r="C43" s="18" t="s">
        <v>943</v>
      </c>
      <c r="D43" s="118" t="s">
        <v>13</v>
      </c>
      <c r="E43" s="19" t="s">
        <v>14</v>
      </c>
      <c r="F43" s="18" t="s">
        <v>935</v>
      </c>
      <c r="G43" s="48">
        <v>0.7</v>
      </c>
      <c r="H43" s="21" t="s">
        <v>944</v>
      </c>
      <c r="I43" s="21" t="s">
        <v>945</v>
      </c>
      <c r="J43" s="21" t="s">
        <v>946</v>
      </c>
      <c r="K43" s="21" t="s">
        <v>947</v>
      </c>
      <c r="L43" s="21" t="s">
        <v>948</v>
      </c>
      <c r="M43" s="21" t="s">
        <v>949</v>
      </c>
      <c r="N43" s="21" t="s">
        <v>942</v>
      </c>
    </row>
    <row r="44" spans="1:14" ht="130" customHeight="1">
      <c r="A44" s="18">
        <v>44</v>
      </c>
      <c r="B44" s="18" t="s">
        <v>950</v>
      </c>
      <c r="C44" s="18" t="s">
        <v>951</v>
      </c>
      <c r="D44" s="118" t="s">
        <v>13</v>
      </c>
      <c r="E44" s="19" t="s">
        <v>14</v>
      </c>
      <c r="F44" s="18" t="s">
        <v>952</v>
      </c>
      <c r="G44" s="48">
        <v>0.7</v>
      </c>
      <c r="H44" s="21" t="s">
        <v>953</v>
      </c>
      <c r="I44" s="21" t="s">
        <v>954</v>
      </c>
      <c r="J44" s="21" t="s">
        <v>955</v>
      </c>
      <c r="K44" s="21" t="s">
        <v>956</v>
      </c>
      <c r="L44" s="21" t="s">
        <v>957</v>
      </c>
      <c r="M44" s="21" t="s">
        <v>958</v>
      </c>
      <c r="N44" s="21" t="s">
        <v>942</v>
      </c>
    </row>
    <row r="45" spans="1:14" ht="130" customHeight="1">
      <c r="A45" s="18">
        <v>45</v>
      </c>
      <c r="B45" s="18" t="s">
        <v>476</v>
      </c>
      <c r="C45" s="18" t="s">
        <v>477</v>
      </c>
      <c r="D45" s="118" t="s">
        <v>13</v>
      </c>
      <c r="E45" s="19">
        <v>46299</v>
      </c>
      <c r="F45" s="18" t="s">
        <v>14</v>
      </c>
      <c r="G45" s="48">
        <v>0.7</v>
      </c>
      <c r="H45" s="21" t="s">
        <v>478</v>
      </c>
      <c r="I45" s="21" t="s">
        <v>479</v>
      </c>
      <c r="J45" s="21" t="s">
        <v>480</v>
      </c>
      <c r="K45" s="21" t="s">
        <v>481</v>
      </c>
      <c r="L45" s="21" t="s">
        <v>482</v>
      </c>
      <c r="M45" s="21" t="s">
        <v>483</v>
      </c>
      <c r="N45" s="21" t="s">
        <v>428</v>
      </c>
    </row>
    <row r="46" spans="1:14" ht="130" customHeight="1">
      <c r="A46" s="18">
        <v>46</v>
      </c>
      <c r="B46" s="18" t="s">
        <v>484</v>
      </c>
      <c r="C46" s="18" t="s">
        <v>485</v>
      </c>
      <c r="D46" s="118" t="s">
        <v>13</v>
      </c>
      <c r="E46" s="19">
        <v>46299</v>
      </c>
      <c r="F46" s="18" t="s">
        <v>14</v>
      </c>
      <c r="G46" s="48">
        <v>0.7</v>
      </c>
      <c r="H46" s="21" t="s">
        <v>486</v>
      </c>
      <c r="I46" s="21" t="s">
        <v>487</v>
      </c>
      <c r="J46" s="21" t="s">
        <v>488</v>
      </c>
      <c r="K46" s="21" t="s">
        <v>489</v>
      </c>
      <c r="L46" s="21" t="s">
        <v>490</v>
      </c>
      <c r="M46" s="21" t="s">
        <v>491</v>
      </c>
      <c r="N46" s="21" t="s">
        <v>428</v>
      </c>
    </row>
    <row r="47" spans="1:14" ht="130" customHeight="1">
      <c r="A47" s="18">
        <v>47</v>
      </c>
      <c r="B47" s="18" t="s">
        <v>492</v>
      </c>
      <c r="C47" s="18" t="s">
        <v>959</v>
      </c>
      <c r="D47" s="118" t="s">
        <v>13</v>
      </c>
      <c r="E47" s="19" t="s">
        <v>14</v>
      </c>
      <c r="F47" s="18" t="s">
        <v>960</v>
      </c>
      <c r="G47" s="48">
        <v>0.6</v>
      </c>
      <c r="H47" s="21" t="s">
        <v>961</v>
      </c>
      <c r="I47" s="21" t="s">
        <v>962</v>
      </c>
      <c r="J47" s="21" t="s">
        <v>963</v>
      </c>
      <c r="K47" s="21" t="s">
        <v>964</v>
      </c>
      <c r="L47" s="21" t="s">
        <v>965</v>
      </c>
      <c r="M47" s="21" t="s">
        <v>966</v>
      </c>
      <c r="N47" s="21" t="s">
        <v>942</v>
      </c>
    </row>
    <row r="48" spans="1:14" ht="130" customHeight="1">
      <c r="A48" s="18">
        <v>48</v>
      </c>
      <c r="B48" s="18" t="s">
        <v>493</v>
      </c>
      <c r="C48" s="18" t="s">
        <v>967</v>
      </c>
      <c r="D48" s="118" t="s">
        <v>13</v>
      </c>
      <c r="E48" s="19" t="s">
        <v>14</v>
      </c>
      <c r="F48" s="18" t="s">
        <v>968</v>
      </c>
      <c r="G48" s="48">
        <v>0.7</v>
      </c>
      <c r="H48" s="21" t="s">
        <v>969</v>
      </c>
      <c r="I48" s="21" t="s">
        <v>970</v>
      </c>
      <c r="J48" s="21" t="s">
        <v>971</v>
      </c>
      <c r="K48" s="21" t="s">
        <v>972</v>
      </c>
      <c r="L48" s="21" t="s">
        <v>973</v>
      </c>
      <c r="M48" s="21" t="s">
        <v>974</v>
      </c>
      <c r="N48" s="21" t="s">
        <v>942</v>
      </c>
    </row>
    <row r="49" spans="1:14" ht="130" customHeight="1">
      <c r="A49" s="18">
        <v>49</v>
      </c>
      <c r="B49" s="18" t="s">
        <v>494</v>
      </c>
      <c r="C49" s="18" t="s">
        <v>975</v>
      </c>
      <c r="D49" s="118" t="s">
        <v>13</v>
      </c>
      <c r="E49" s="19" t="s">
        <v>14</v>
      </c>
      <c r="F49" s="18" t="s">
        <v>976</v>
      </c>
      <c r="G49" s="48">
        <v>0.7</v>
      </c>
      <c r="H49" s="21" t="s">
        <v>977</v>
      </c>
      <c r="I49" s="21" t="s">
        <v>978</v>
      </c>
      <c r="J49" s="21" t="s">
        <v>979</v>
      </c>
      <c r="K49" s="21" t="s">
        <v>980</v>
      </c>
      <c r="L49" s="21" t="s">
        <v>981</v>
      </c>
      <c r="M49" s="21" t="s">
        <v>982</v>
      </c>
      <c r="N49" s="21" t="s">
        <v>942</v>
      </c>
    </row>
    <row r="50" spans="1:14" ht="130" customHeight="1">
      <c r="A50" s="18">
        <v>50</v>
      </c>
      <c r="B50" s="18" t="s">
        <v>495</v>
      </c>
      <c r="C50" s="18" t="s">
        <v>496</v>
      </c>
      <c r="D50" s="118" t="s">
        <v>13</v>
      </c>
      <c r="E50" s="19">
        <v>46299</v>
      </c>
      <c r="F50" s="18" t="s">
        <v>14</v>
      </c>
      <c r="G50" s="48">
        <v>0.7</v>
      </c>
      <c r="H50" s="21" t="s">
        <v>497</v>
      </c>
      <c r="I50" s="21" t="s">
        <v>498</v>
      </c>
      <c r="J50" s="21" t="s">
        <v>499</v>
      </c>
      <c r="K50" s="21" t="s">
        <v>500</v>
      </c>
      <c r="L50" s="21" t="s">
        <v>501</v>
      </c>
      <c r="M50" s="21" t="s">
        <v>502</v>
      </c>
      <c r="N50" s="21" t="s">
        <v>428</v>
      </c>
    </row>
    <row r="51" spans="1:14" ht="130" customHeight="1">
      <c r="A51" s="18">
        <v>51</v>
      </c>
      <c r="B51" s="18" t="s">
        <v>503</v>
      </c>
      <c r="C51" s="18" t="s">
        <v>504</v>
      </c>
      <c r="D51" s="118" t="s">
        <v>13</v>
      </c>
      <c r="E51" s="19">
        <v>46299</v>
      </c>
      <c r="F51" s="18" t="s">
        <v>14</v>
      </c>
      <c r="G51" s="48">
        <v>0.7</v>
      </c>
      <c r="H51" s="21" t="s">
        <v>505</v>
      </c>
      <c r="I51" s="21" t="s">
        <v>506</v>
      </c>
      <c r="J51" s="21" t="s">
        <v>507</v>
      </c>
      <c r="K51" s="21" t="s">
        <v>508</v>
      </c>
      <c r="L51" s="21" t="s">
        <v>509</v>
      </c>
      <c r="M51" s="21" t="s">
        <v>510</v>
      </c>
      <c r="N51" s="21" t="s">
        <v>428</v>
      </c>
    </row>
    <row r="52" spans="1:14" ht="112" customHeight="1">
      <c r="A52" s="18">
        <v>52</v>
      </c>
      <c r="B52" s="18" t="s">
        <v>583</v>
      </c>
      <c r="C52" s="18" t="s">
        <v>983</v>
      </c>
      <c r="D52" s="118" t="s">
        <v>13</v>
      </c>
      <c r="E52" s="19" t="s">
        <v>584</v>
      </c>
      <c r="F52" s="19" t="s">
        <v>984</v>
      </c>
      <c r="G52" s="48">
        <v>0.5</v>
      </c>
      <c r="H52" s="21" t="s">
        <v>985</v>
      </c>
      <c r="I52" s="21" t="s">
        <v>986</v>
      </c>
      <c r="J52" s="21" t="s">
        <v>987</v>
      </c>
      <c r="K52" s="21" t="s">
        <v>988</v>
      </c>
      <c r="L52" s="21" t="s">
        <v>989</v>
      </c>
      <c r="M52" s="21" t="s">
        <v>990</v>
      </c>
      <c r="N52" s="21" t="s">
        <v>899</v>
      </c>
    </row>
    <row r="53" spans="1:14" ht="112" customHeight="1">
      <c r="A53" s="18">
        <v>53</v>
      </c>
      <c r="B53" s="18" t="s">
        <v>585</v>
      </c>
      <c r="C53" s="18" t="s">
        <v>586</v>
      </c>
      <c r="D53" s="118" t="s">
        <v>13</v>
      </c>
      <c r="E53" s="19" t="s">
        <v>584</v>
      </c>
      <c r="F53" s="19" t="s">
        <v>587</v>
      </c>
      <c r="G53" s="48">
        <v>0.7</v>
      </c>
      <c r="H53" s="21" t="s">
        <v>588</v>
      </c>
      <c r="I53" s="21" t="s">
        <v>589</v>
      </c>
      <c r="J53" s="21" t="s">
        <v>590</v>
      </c>
      <c r="K53" s="21" t="s">
        <v>591</v>
      </c>
      <c r="L53" s="21" t="s">
        <v>592</v>
      </c>
      <c r="M53" s="21" t="s">
        <v>593</v>
      </c>
      <c r="N53" s="21" t="s">
        <v>594</v>
      </c>
    </row>
    <row r="54" spans="1:14" ht="112" customHeight="1">
      <c r="A54" s="18">
        <v>54</v>
      </c>
      <c r="B54" s="18" t="s">
        <v>595</v>
      </c>
      <c r="C54" s="44" t="s">
        <v>991</v>
      </c>
      <c r="D54" s="118" t="s">
        <v>13</v>
      </c>
      <c r="E54" s="19" t="s">
        <v>584</v>
      </c>
      <c r="F54" s="19" t="s">
        <v>992</v>
      </c>
      <c r="G54" s="48">
        <v>0.7</v>
      </c>
      <c r="H54" s="21" t="s">
        <v>993</v>
      </c>
      <c r="I54" s="21" t="s">
        <v>994</v>
      </c>
      <c r="J54" s="21" t="s">
        <v>995</v>
      </c>
      <c r="K54" s="21" t="s">
        <v>996</v>
      </c>
      <c r="L54" s="21" t="s">
        <v>997</v>
      </c>
      <c r="M54" s="21" t="s">
        <v>998</v>
      </c>
      <c r="N54" s="21" t="s">
        <v>999</v>
      </c>
    </row>
    <row r="55" spans="1:14" ht="112" customHeight="1">
      <c r="A55" s="18">
        <v>55</v>
      </c>
      <c r="B55" s="18" t="s">
        <v>596</v>
      </c>
      <c r="C55" s="44" t="s">
        <v>597</v>
      </c>
      <c r="D55" s="118" t="s">
        <v>13</v>
      </c>
      <c r="E55" s="19" t="s">
        <v>584</v>
      </c>
      <c r="F55" s="19" t="s">
        <v>14</v>
      </c>
      <c r="G55" s="48">
        <v>0.7</v>
      </c>
      <c r="H55" s="21" t="s">
        <v>598</v>
      </c>
      <c r="I55" s="21" t="s">
        <v>599</v>
      </c>
      <c r="J55" s="21" t="s">
        <v>600</v>
      </c>
      <c r="K55" s="21" t="s">
        <v>601</v>
      </c>
      <c r="L55" s="21" t="s">
        <v>602</v>
      </c>
      <c r="M55" s="21" t="s">
        <v>603</v>
      </c>
      <c r="N55" s="21" t="s">
        <v>594</v>
      </c>
    </row>
    <row r="56" spans="1:14" ht="112" customHeight="1">
      <c r="A56" s="18">
        <v>56</v>
      </c>
      <c r="B56" s="18" t="s">
        <v>604</v>
      </c>
      <c r="C56" s="44" t="s">
        <v>1000</v>
      </c>
      <c r="D56" s="118" t="s">
        <v>13</v>
      </c>
      <c r="E56" s="19" t="s">
        <v>584</v>
      </c>
      <c r="F56" s="19" t="s">
        <v>1001</v>
      </c>
      <c r="G56" s="48">
        <v>0.7</v>
      </c>
      <c r="H56" s="21" t="s">
        <v>1002</v>
      </c>
      <c r="I56" s="21" t="s">
        <v>1003</v>
      </c>
      <c r="J56" s="21" t="s">
        <v>1004</v>
      </c>
      <c r="K56" s="21" t="s">
        <v>605</v>
      </c>
      <c r="L56" s="21" t="s">
        <v>1005</v>
      </c>
      <c r="M56" s="21" t="s">
        <v>1006</v>
      </c>
      <c r="N56" s="21" t="s">
        <v>1007</v>
      </c>
    </row>
    <row r="57" spans="1:14" ht="112" customHeight="1">
      <c r="A57" s="18">
        <v>57</v>
      </c>
      <c r="B57" s="18" t="s">
        <v>606</v>
      </c>
      <c r="C57" s="45" t="s">
        <v>607</v>
      </c>
      <c r="D57" s="119" t="s">
        <v>22</v>
      </c>
      <c r="E57" s="19" t="s">
        <v>14</v>
      </c>
      <c r="F57" s="19" t="s">
        <v>584</v>
      </c>
      <c r="G57" s="48">
        <v>1</v>
      </c>
      <c r="H57" s="21" t="s">
        <v>608</v>
      </c>
      <c r="I57" s="21" t="s">
        <v>609</v>
      </c>
      <c r="J57" s="21" t="s">
        <v>610</v>
      </c>
      <c r="K57" s="21" t="s">
        <v>611</v>
      </c>
      <c r="L57" s="21" t="s">
        <v>612</v>
      </c>
      <c r="M57" s="21" t="s">
        <v>613</v>
      </c>
      <c r="N57" s="21" t="s">
        <v>594</v>
      </c>
    </row>
    <row r="58" spans="1:14" ht="112" customHeight="1">
      <c r="A58" s="18">
        <v>58</v>
      </c>
      <c r="B58" s="18" t="s">
        <v>614</v>
      </c>
      <c r="C58" s="18" t="s">
        <v>615</v>
      </c>
      <c r="D58" s="118" t="s">
        <v>13</v>
      </c>
      <c r="E58" s="19" t="s">
        <v>584</v>
      </c>
      <c r="F58" s="19" t="s">
        <v>14</v>
      </c>
      <c r="G58" s="48">
        <v>0.7</v>
      </c>
      <c r="H58" s="21" t="s">
        <v>616</v>
      </c>
      <c r="I58" s="21" t="s">
        <v>617</v>
      </c>
      <c r="J58" s="21" t="s">
        <v>618</v>
      </c>
      <c r="K58" s="21" t="s">
        <v>619</v>
      </c>
      <c r="L58" s="21" t="s">
        <v>620</v>
      </c>
      <c r="M58" s="21" t="s">
        <v>621</v>
      </c>
      <c r="N58" s="21" t="s">
        <v>594</v>
      </c>
    </row>
    <row r="59" spans="1:14" ht="112" customHeight="1">
      <c r="A59" s="18">
        <v>59</v>
      </c>
      <c r="B59" s="18" t="s">
        <v>622</v>
      </c>
      <c r="C59" s="18" t="s">
        <v>623</v>
      </c>
      <c r="D59" s="118" t="s">
        <v>13</v>
      </c>
      <c r="E59" s="19" t="s">
        <v>584</v>
      </c>
      <c r="F59" s="19" t="s">
        <v>14</v>
      </c>
      <c r="G59" s="48">
        <v>0.7</v>
      </c>
      <c r="H59" s="21" t="s">
        <v>624</v>
      </c>
      <c r="I59" s="21" t="s">
        <v>625</v>
      </c>
      <c r="J59" s="21" t="s">
        <v>626</v>
      </c>
      <c r="K59" s="21" t="s">
        <v>627</v>
      </c>
      <c r="L59" s="21" t="s">
        <v>628</v>
      </c>
      <c r="M59" s="21" t="s">
        <v>629</v>
      </c>
      <c r="N59" s="21" t="s">
        <v>594</v>
      </c>
    </row>
    <row r="60" spans="1:14" ht="150" customHeight="1">
      <c r="A60" s="46">
        <v>60</v>
      </c>
      <c r="B60" s="46" t="s">
        <v>630</v>
      </c>
      <c r="C60" s="46" t="s">
        <v>631</v>
      </c>
      <c r="D60" s="118" t="s">
        <v>13</v>
      </c>
      <c r="E60" s="47">
        <v>46307</v>
      </c>
      <c r="F60" s="47" t="s">
        <v>632</v>
      </c>
      <c r="G60" s="48">
        <v>0.7</v>
      </c>
      <c r="H60" s="49" t="s">
        <v>633</v>
      </c>
      <c r="I60" s="49" t="s">
        <v>634</v>
      </c>
      <c r="J60" s="49" t="s">
        <v>635</v>
      </c>
      <c r="K60" s="49" t="s">
        <v>636</v>
      </c>
      <c r="L60" s="49" t="s">
        <v>637</v>
      </c>
      <c r="M60" s="49" t="s">
        <v>638</v>
      </c>
      <c r="N60" s="49" t="s">
        <v>639</v>
      </c>
    </row>
    <row r="61" spans="1:14" ht="150" customHeight="1">
      <c r="A61" s="46">
        <v>61</v>
      </c>
      <c r="B61" s="46" t="s">
        <v>640</v>
      </c>
      <c r="C61" s="46" t="s">
        <v>641</v>
      </c>
      <c r="D61" s="118" t="s">
        <v>13</v>
      </c>
      <c r="E61" s="47">
        <v>46307</v>
      </c>
      <c r="F61" s="47" t="s">
        <v>642</v>
      </c>
      <c r="G61" s="48">
        <v>0.75</v>
      </c>
      <c r="H61" s="49" t="s">
        <v>643</v>
      </c>
      <c r="I61" s="49" t="s">
        <v>644</v>
      </c>
      <c r="J61" s="49" t="s">
        <v>645</v>
      </c>
      <c r="K61" s="49" t="s">
        <v>646</v>
      </c>
      <c r="L61" s="49" t="s">
        <v>647</v>
      </c>
      <c r="M61" s="49" t="s">
        <v>648</v>
      </c>
      <c r="N61" s="49" t="s">
        <v>649</v>
      </c>
    </row>
    <row r="62" spans="1:14" ht="96" customHeight="1">
      <c r="A62" s="46">
        <v>62</v>
      </c>
      <c r="B62" s="46" t="s">
        <v>1008</v>
      </c>
      <c r="C62" s="46" t="s">
        <v>1009</v>
      </c>
      <c r="D62" s="118" t="s">
        <v>13</v>
      </c>
      <c r="E62" s="47" t="s">
        <v>1010</v>
      </c>
      <c r="F62" s="47" t="s">
        <v>1011</v>
      </c>
      <c r="G62" s="48">
        <v>0.7</v>
      </c>
      <c r="H62" s="49" t="s">
        <v>1012</v>
      </c>
      <c r="I62" s="49" t="s">
        <v>1013</v>
      </c>
      <c r="J62" s="49" t="s">
        <v>1014</v>
      </c>
      <c r="K62" s="49" t="s">
        <v>1015</v>
      </c>
      <c r="L62" s="49" t="s">
        <v>1016</v>
      </c>
      <c r="M62" s="49" t="s">
        <v>1017</v>
      </c>
      <c r="N62" s="49" t="s">
        <v>909</v>
      </c>
    </row>
    <row r="63" spans="1:14" ht="96" customHeight="1">
      <c r="A63" s="46">
        <v>63</v>
      </c>
      <c r="B63" s="46" t="s">
        <v>1018</v>
      </c>
      <c r="C63" s="46" t="s">
        <v>1019</v>
      </c>
      <c r="D63" s="118" t="s">
        <v>13</v>
      </c>
      <c r="E63" s="47" t="s">
        <v>1020</v>
      </c>
      <c r="F63" s="47" t="s">
        <v>1021</v>
      </c>
      <c r="G63" s="48">
        <v>0.7</v>
      </c>
      <c r="H63" s="49" t="s">
        <v>1022</v>
      </c>
      <c r="I63" s="49" t="s">
        <v>1023</v>
      </c>
      <c r="J63" s="49" t="s">
        <v>1024</v>
      </c>
      <c r="K63" s="49" t="s">
        <v>1025</v>
      </c>
      <c r="L63" s="49" t="s">
        <v>1026</v>
      </c>
      <c r="M63" s="49" t="s">
        <v>1027</v>
      </c>
      <c r="N63" s="49" t="s">
        <v>1028</v>
      </c>
    </row>
    <row r="64" spans="1:14" ht="96" customHeight="1">
      <c r="A64" s="46">
        <v>64</v>
      </c>
      <c r="B64" s="46" t="s">
        <v>1029</v>
      </c>
      <c r="C64" s="46" t="s">
        <v>1030</v>
      </c>
      <c r="D64" s="118" t="s">
        <v>13</v>
      </c>
      <c r="E64" s="47" t="s">
        <v>1010</v>
      </c>
      <c r="F64" s="47" t="s">
        <v>1031</v>
      </c>
      <c r="G64" s="48">
        <v>0.7</v>
      </c>
      <c r="H64" s="49" t="s">
        <v>1032</v>
      </c>
      <c r="I64" s="49" t="s">
        <v>1033</v>
      </c>
      <c r="J64" s="49" t="s">
        <v>1034</v>
      </c>
      <c r="K64" s="49" t="s">
        <v>1035</v>
      </c>
      <c r="L64" s="49" t="s">
        <v>1036</v>
      </c>
      <c r="M64" s="49" t="s">
        <v>1037</v>
      </c>
      <c r="N64" s="49" t="s">
        <v>1038</v>
      </c>
    </row>
  </sheetData>
  <conditionalFormatting sqref="C2:C19">
    <cfRule type="containsText" dxfId="63" priority="10" operator="containsText" text="Completed"/>
    <cfRule type="containsText" dxfId="62" priority="11" operator="containsText" text="In Progress"/>
    <cfRule type="containsText" dxfId="61" priority="13" operator="containsText" text="Not Started"/>
  </conditionalFormatting>
  <conditionalFormatting sqref="C2:D19">
    <cfRule type="containsText" dxfId="60" priority="12" operator="containsText" text="At Risk"/>
  </conditionalFormatting>
  <conditionalFormatting sqref="D2:D20">
    <cfRule type="containsText" dxfId="59" priority="14" operator="containsText" text="Amber"/>
    <cfRule type="containsText" dxfId="58" priority="15" operator="containsText" text="Green"/>
  </conditionalFormatting>
  <conditionalFormatting sqref="D20:D22">
    <cfRule type="containsText" dxfId="57" priority="7" operator="containsText" text="At Risk"/>
  </conditionalFormatting>
  <conditionalFormatting sqref="D21:D22">
    <cfRule type="containsText" dxfId="56" priority="8" operator="containsText" text="Amber"/>
    <cfRule type="containsText" dxfId="55" priority="9" operator="containsText" text="Green"/>
  </conditionalFormatting>
  <conditionalFormatting sqref="D29:D34">
    <cfRule type="containsText" dxfId="54" priority="4" operator="containsText" text="At Risk"/>
    <cfRule type="containsText" dxfId="53" priority="5" operator="containsText" text="Amber"/>
    <cfRule type="containsText" dxfId="52" priority="6" operator="containsText" text="Green"/>
  </conditionalFormatting>
  <conditionalFormatting sqref="D39:D41">
    <cfRule type="containsText" dxfId="51" priority="1" operator="containsText" text="At Risk"/>
    <cfRule type="containsText" dxfId="50" priority="2" operator="containsText" text="Amber"/>
    <cfRule type="containsText" dxfId="49" priority="3" operator="containsText" text="Green"/>
  </conditionalFormatting>
  <conditionalFormatting sqref="F2:F19">
    <cfRule type="dataBar" priority="16">
      <dataBar>
        <cfvo type="min"/>
        <cfvo type="max"/>
        <color rgb="FF5B9BD5"/>
      </dataBar>
    </cfRule>
    <cfRule type="dataBar" priority="17">
      <dataBar>
        <cfvo type="min"/>
        <cfvo type="max"/>
        <color rgb="FF5B9BD5"/>
      </dataBar>
    </cfRule>
    <cfRule type="dataBar" priority="18">
      <dataBar>
        <cfvo type="min"/>
        <cfvo type="max"/>
        <color rgb="FF5B9BD5"/>
      </dataBar>
    </cfRule>
    <cfRule type="dataBar" priority="19">
      <dataBar>
        <cfvo type="min"/>
        <cfvo type="max"/>
        <color rgb="FF5B9BD5"/>
      </dataBar>
    </cfRule>
    <cfRule type="dataBar" priority="20">
      <dataBar>
        <cfvo type="min"/>
        <cfvo type="max"/>
        <color rgb="FF5B9BD5"/>
      </dataBar>
    </cfRule>
    <cfRule type="dataBar" priority="21">
      <dataBar>
        <cfvo type="min"/>
        <cfvo type="max"/>
        <color rgb="FF5B9BD5"/>
      </dataBar>
    </cfRule>
    <cfRule type="dataBar" priority="22">
      <dataBar>
        <cfvo type="min"/>
        <cfvo type="max"/>
        <color rgb="FF5B9BD5"/>
      </dataBar>
    </cfRule>
    <cfRule type="dataBar" priority="23">
      <dataBar>
        <cfvo type="min"/>
        <cfvo type="max"/>
        <color rgb="FF5B9BD5"/>
      </dataBar>
    </cfRule>
    <cfRule type="dataBar" priority="24">
      <dataBar>
        <cfvo type="min"/>
        <cfvo type="max"/>
        <color rgb="FF5B9BD5"/>
      </dataBar>
    </cfRule>
    <cfRule type="dataBar" priority="25">
      <dataBar>
        <cfvo type="min"/>
        <cfvo type="max"/>
        <color rgb="FF5B9BD5"/>
      </dataBar>
    </cfRule>
    <cfRule type="dataBar" priority="26">
      <dataBar>
        <cfvo type="min"/>
        <cfvo type="max"/>
        <color rgb="FF5B9BD5"/>
      </dataBar>
    </cfRule>
    <cfRule type="dataBar" priority="27">
      <dataBar>
        <cfvo type="min"/>
        <cfvo type="max"/>
        <color rgb="FF5B9BD5"/>
      </dataBar>
    </cfRule>
    <cfRule type="dataBar" priority="28">
      <dataBar>
        <cfvo type="min"/>
        <cfvo type="max"/>
        <color rgb="FF5B9BD5"/>
      </dataBar>
    </cfRule>
    <cfRule type="dataBar" priority="29">
      <dataBar>
        <cfvo type="min"/>
        <cfvo type="max"/>
        <color rgb="FF5B9BD5"/>
      </dataBar>
    </cfRule>
    <cfRule type="dataBar" priority="30">
      <dataBar>
        <cfvo type="min"/>
        <cfvo type="max"/>
        <color rgb="FF5B9BD5"/>
      </dataBar>
    </cfRule>
    <cfRule type="dataBar" priority="31">
      <dataBar>
        <cfvo type="min"/>
        <cfvo type="max"/>
        <color rgb="FF5B9BD5"/>
      </dataBar>
    </cfRule>
    <cfRule type="dataBar" priority="32">
      <dataBar>
        <cfvo type="min"/>
        <cfvo type="max"/>
        <color rgb="FF5B9BD5"/>
      </dataBar>
    </cfRule>
    <cfRule type="dataBar" priority="33">
      <dataBar>
        <cfvo type="min"/>
        <cfvo type="max"/>
        <color rgb="FF5B9BD5"/>
      </dataBar>
    </cfRule>
    <cfRule type="dataBar" priority="34">
      <dataBar>
        <cfvo type="min"/>
        <cfvo type="max"/>
        <color rgb="FF5B9BD5"/>
      </dataBar>
    </cfRule>
    <cfRule type="dataBar" priority="35">
      <dataBar>
        <cfvo type="min"/>
        <cfvo type="max"/>
        <color rgb="FF5B9BD5"/>
      </dataBar>
    </cfRule>
    <cfRule type="dataBar" priority="36">
      <dataBar>
        <cfvo type="min"/>
        <cfvo type="max"/>
        <color rgb="FF5B9BD5"/>
      </dataBar>
    </cfRule>
    <cfRule type="dataBar" priority="37">
      <dataBar>
        <cfvo type="min"/>
        <cfvo type="max"/>
        <color rgb="FF5B9BD5"/>
      </dataBar>
    </cfRule>
    <cfRule type="dataBar" priority="38">
      <dataBar>
        <cfvo type="min"/>
        <cfvo type="max"/>
        <color rgb="FF5B9BD5"/>
      </dataBar>
    </cfRule>
    <cfRule type="dataBar" priority="39">
      <dataBar>
        <cfvo type="min"/>
        <cfvo type="max"/>
        <color rgb="FF5B9BD5"/>
      </dataBar>
      <extLst>
        <ext xmlns:x14="http://schemas.microsoft.com/office/spreadsheetml/2009/9/main" uri="{B025F937-C7B1-47D3-B67F-A62EFF666E3E}">
          <x14:id>{156182D0-9FF4-4FBF-AFAD-CD6A2DEE7FBE}</x14:id>
        </ext>
      </extLst>
    </cfRule>
  </conditionalFormatting>
  <dataValidations count="3">
    <dataValidation type="list" sqref="C2:C19" xr:uid="{004D8A16-5DE8-4838-A645-76B07A0B358C}">
      <formula1>"Not Started,Pending,In Progress,Ongoing,At Risk,On Hold,Completed,Roadmap,Readiness,Evaluation"</formula1>
    </dataValidation>
    <dataValidation type="decimal" sqref="F2:F19" xr:uid="{AC49FF98-C748-44C8-A59F-E6F4D2E756BC}">
      <formula1>0</formula1>
      <formula2>1</formula2>
    </dataValidation>
    <dataValidation type="list" sqref="D33 D22 D2:D20 D39:D41" xr:uid="{D609AF7B-0E09-48A8-9202-DB9DC07DB8E9}">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156182D0-9FF4-4FBF-AFAD-CD6A2DEE7FBE}">
            <x14:dataBar>
              <x14:cfvo type="min"/>
              <x14:cfvo type="max"/>
              <x14:negativeFillColor auto="1"/>
              <x14:axisColor auto="1"/>
            </x14:dataBar>
          </x14:cfRule>
          <xm:sqref>F2:F19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8"/>
  <sheetViews>
    <sheetView showGridLines="0" workbookViewId="0">
      <pane ySplit="1" topLeftCell="A2" activePane="bottomLeft" state="frozen"/>
      <selection pane="bottomLeft" activeCell="A2" sqref="A2:M2"/>
    </sheetView>
  </sheetViews>
  <sheetFormatPr defaultColWidth="9" defaultRowHeight="14"/>
  <cols>
    <col min="1" max="1" width="7" customWidth="1"/>
    <col min="2" max="2" width="34" customWidth="1"/>
    <col min="3" max="4" width="23" customWidth="1"/>
    <col min="5" max="5" width="14" customWidth="1"/>
    <col min="6" max="6" width="16" customWidth="1"/>
    <col min="7" max="7" width="15" customWidth="1"/>
    <col min="8" max="8" width="44" customWidth="1"/>
    <col min="9" max="10" width="50" customWidth="1"/>
    <col min="11" max="11" width="30" customWidth="1"/>
    <col min="12" max="12" width="42" customWidth="1"/>
    <col min="13" max="13" width="44" customWidth="1"/>
    <col min="14" max="14" width="34" customWidth="1"/>
  </cols>
  <sheetData>
    <row r="1" spans="1:14" ht="34" customHeight="1">
      <c r="A1" s="98" t="s">
        <v>677</v>
      </c>
      <c r="B1" s="98"/>
      <c r="C1" s="98"/>
      <c r="D1" s="98"/>
      <c r="E1" s="98"/>
      <c r="F1" s="98"/>
      <c r="G1" s="98"/>
      <c r="H1" s="98"/>
      <c r="I1" s="98"/>
      <c r="J1" s="98"/>
      <c r="K1" s="98"/>
      <c r="L1" s="98"/>
      <c r="M1" s="98"/>
      <c r="N1" s="57"/>
    </row>
    <row r="2" spans="1:14" ht="46" customHeight="1">
      <c r="A2" s="99" t="s">
        <v>678</v>
      </c>
      <c r="B2" s="99"/>
      <c r="C2" s="99"/>
      <c r="D2" s="99"/>
      <c r="E2" s="99"/>
      <c r="F2" s="99"/>
      <c r="G2" s="99"/>
      <c r="H2" s="99"/>
      <c r="I2" s="99"/>
      <c r="J2" s="99"/>
      <c r="K2" s="99"/>
      <c r="L2" s="99"/>
      <c r="M2" s="99"/>
      <c r="N2" s="58"/>
    </row>
    <row r="3" spans="1:14" ht="46" customHeight="1">
      <c r="A3" s="59" t="s">
        <v>0</v>
      </c>
      <c r="B3" s="60" t="s">
        <v>1</v>
      </c>
      <c r="C3" s="60" t="s">
        <v>2</v>
      </c>
      <c r="D3" s="60" t="s">
        <v>3</v>
      </c>
      <c r="E3" s="60" t="s">
        <v>4</v>
      </c>
      <c r="F3" s="60" t="s">
        <v>789</v>
      </c>
      <c r="G3" s="60" t="s">
        <v>5</v>
      </c>
      <c r="H3" s="61" t="s">
        <v>6</v>
      </c>
      <c r="I3" s="61" t="s">
        <v>7</v>
      </c>
      <c r="J3" s="61" t="s">
        <v>8</v>
      </c>
      <c r="K3" s="61" t="s">
        <v>679</v>
      </c>
      <c r="L3" s="61" t="s">
        <v>10</v>
      </c>
      <c r="M3" s="62" t="s">
        <v>11</v>
      </c>
      <c r="N3" s="63" t="s">
        <v>12</v>
      </c>
    </row>
    <row r="4" spans="1:14" ht="24">
      <c r="A4" s="64">
        <v>1</v>
      </c>
      <c r="B4" s="64" t="s">
        <v>188</v>
      </c>
      <c r="C4" s="65" t="s">
        <v>76</v>
      </c>
      <c r="D4" s="65" t="s">
        <v>22</v>
      </c>
      <c r="E4" s="66" t="s">
        <v>14</v>
      </c>
      <c r="F4" s="66" t="s">
        <v>572</v>
      </c>
      <c r="G4" s="67">
        <v>1</v>
      </c>
      <c r="H4" s="68" t="s">
        <v>76</v>
      </c>
      <c r="I4" s="68" t="s">
        <v>189</v>
      </c>
      <c r="J4" s="68" t="s">
        <v>190</v>
      </c>
      <c r="K4" s="69" t="s">
        <v>191</v>
      </c>
      <c r="L4" s="70" t="s">
        <v>192</v>
      </c>
      <c r="M4" s="70" t="s">
        <v>193</v>
      </c>
      <c r="N4" s="2" t="s">
        <v>16</v>
      </c>
    </row>
    <row r="5" spans="1:14" ht="46" customHeight="1">
      <c r="A5" s="71">
        <v>2</v>
      </c>
      <c r="B5" s="71" t="s">
        <v>194</v>
      </c>
      <c r="C5" s="65" t="s">
        <v>76</v>
      </c>
      <c r="D5" s="65" t="s">
        <v>22</v>
      </c>
      <c r="E5" s="72" t="s">
        <v>14</v>
      </c>
      <c r="F5" s="66" t="s">
        <v>572</v>
      </c>
      <c r="G5" s="67">
        <v>1</v>
      </c>
      <c r="H5" s="73" t="s">
        <v>76</v>
      </c>
      <c r="I5" s="73" t="s">
        <v>195</v>
      </c>
      <c r="J5" s="73" t="s">
        <v>196</v>
      </c>
      <c r="K5" s="74" t="s">
        <v>191</v>
      </c>
      <c r="L5" s="75" t="s">
        <v>192</v>
      </c>
      <c r="M5" s="75" t="s">
        <v>197</v>
      </c>
      <c r="N5" s="2" t="s">
        <v>16</v>
      </c>
    </row>
    <row r="6" spans="1:14" ht="84">
      <c r="A6" s="64">
        <v>3</v>
      </c>
      <c r="B6" s="64" t="s">
        <v>198</v>
      </c>
      <c r="C6" s="65" t="s">
        <v>76</v>
      </c>
      <c r="D6" s="65" t="s">
        <v>22</v>
      </c>
      <c r="E6" s="66" t="s">
        <v>14</v>
      </c>
      <c r="F6" s="66" t="s">
        <v>572</v>
      </c>
      <c r="G6" s="67">
        <v>1</v>
      </c>
      <c r="H6" s="76" t="s">
        <v>199</v>
      </c>
      <c r="I6" s="76" t="s">
        <v>680</v>
      </c>
      <c r="J6" s="76" t="s">
        <v>200</v>
      </c>
      <c r="K6" s="77" t="s">
        <v>191</v>
      </c>
      <c r="L6" s="78" t="s">
        <v>201</v>
      </c>
      <c r="M6" s="78" t="s">
        <v>202</v>
      </c>
      <c r="N6" s="2" t="e" vm="1">
        <f ca="1">_xlfn.DISPIMG("ID_BFCB287FF50949ACB47F716BD1E40440",1)</f>
        <v>#NAME?</v>
      </c>
    </row>
    <row r="7" spans="1:14" ht="24">
      <c r="A7" s="64">
        <v>4</v>
      </c>
      <c r="B7" s="64" t="s">
        <v>203</v>
      </c>
      <c r="C7" s="65" t="s">
        <v>76</v>
      </c>
      <c r="D7" s="65" t="s">
        <v>22</v>
      </c>
      <c r="E7" s="66" t="s">
        <v>14</v>
      </c>
      <c r="F7" s="66" t="s">
        <v>572</v>
      </c>
      <c r="G7" s="67">
        <v>1</v>
      </c>
      <c r="H7" s="76" t="s">
        <v>76</v>
      </c>
      <c r="I7" s="76" t="s">
        <v>204</v>
      </c>
      <c r="J7" s="76" t="s">
        <v>205</v>
      </c>
      <c r="K7" s="77" t="s">
        <v>206</v>
      </c>
      <c r="L7" s="78" t="s">
        <v>681</v>
      </c>
      <c r="M7" s="78" t="s">
        <v>207</v>
      </c>
      <c r="N7" t="s">
        <v>208</v>
      </c>
    </row>
    <row r="8" spans="1:14" ht="84">
      <c r="A8" s="64">
        <v>5</v>
      </c>
      <c r="B8" s="64" t="s">
        <v>209</v>
      </c>
      <c r="C8" s="64" t="s">
        <v>841</v>
      </c>
      <c r="D8" s="65" t="s">
        <v>22</v>
      </c>
      <c r="E8" s="66" t="s">
        <v>14</v>
      </c>
      <c r="F8" s="66" t="s">
        <v>14</v>
      </c>
      <c r="G8" s="67">
        <v>0.2</v>
      </c>
      <c r="H8" s="76" t="s">
        <v>18</v>
      </c>
      <c r="I8" s="79" t="s">
        <v>842</v>
      </c>
      <c r="J8" s="76" t="s">
        <v>843</v>
      </c>
      <c r="K8" s="77" t="s">
        <v>206</v>
      </c>
      <c r="L8" s="78" t="s">
        <v>844</v>
      </c>
      <c r="M8" s="78" t="s">
        <v>210</v>
      </c>
    </row>
  </sheetData>
  <mergeCells count="2">
    <mergeCell ref="A1:M1"/>
    <mergeCell ref="A2:M2"/>
  </mergeCells>
  <conditionalFormatting sqref="C4:D7">
    <cfRule type="expression" dxfId="109" priority="11">
      <formula>OR(ISNUMBER(SEARCH("At Risk",C4)),ISNUMBER(SEARCH("Security Risk",C4)),ISNUMBER(SEARCH("Blocked",C4)))</formula>
    </cfRule>
    <cfRule type="expression" dxfId="108" priority="12">
      <formula>OR(ISNUMBER(SEARCH("Green",C4)),ISNUMBER(SEARCH("Completed",C4)))</formula>
    </cfRule>
    <cfRule type="expression" dxfId="107" priority="13">
      <formula>AND(C4&lt;&gt;"",NOT(OR(ISNUMBER(SEARCH("At Risk",C4)),ISNUMBER(SEARCH("Security Risk",C4)),ISNUMBER(SEARCH("Blocked",C4)),ISNUMBER(SEARCH("Green",C4)),ISNUMBER(SEARCH("Completed",C4)))))</formula>
    </cfRule>
  </conditionalFormatting>
  <conditionalFormatting sqref="D8">
    <cfRule type="expression" dxfId="106" priority="1">
      <formula>OR(ISNUMBER(SEARCH("At Risk",D8)),ISNUMBER(SEARCH("Security Risk",D8)),ISNUMBER(SEARCH("Blocked",D8)))</formula>
    </cfRule>
    <cfRule type="expression" dxfId="105" priority="2">
      <formula>OR(ISNUMBER(SEARCH("Green",D8)),ISNUMBER(SEARCH("Completed",D8)))</formula>
    </cfRule>
    <cfRule type="expression" dxfId="104" priority="3">
      <formula>AND(D8&lt;&gt;"",NOT(OR(ISNUMBER(SEARCH("At Risk",D8)),ISNUMBER(SEARCH("Security Risk",D8)),ISNUMBER(SEARCH("Blocked",D8)),ISNUMBER(SEARCH("Green",D8)),ISNUMBER(SEARCH("Completed",D8)))))</formula>
    </cfRule>
  </conditionalFormatting>
  <conditionalFormatting sqref="H4:H7">
    <cfRule type="containsText" dxfId="103" priority="14" operator="containsText" text="Completed">
      <formula>NOT(ISERROR(SEARCH("Completed",H4)))</formula>
    </cfRule>
    <cfRule type="containsText" dxfId="102" priority="15" operator="containsText" text="In Progress">
      <formula>NOT(ISERROR(SEARCH("In Progress",H4)))</formula>
    </cfRule>
    <cfRule type="containsText" dxfId="101" priority="16" operator="containsText" text="At Risk">
      <formula>NOT(ISERROR(SEARCH("At Risk",H4)))</formula>
    </cfRule>
    <cfRule type="containsText" dxfId="100" priority="17" operator="containsText" text="Blocked">
      <formula>NOT(ISERROR(SEARCH("Blocked",H4)))</formula>
    </cfRule>
    <cfRule type="containsText" dxfId="99" priority="18" operator="containsText" text="Not Started">
      <formula>NOT(ISERROR(SEARCH("Not Started",H4)))</formula>
    </cfRule>
  </conditionalFormatting>
  <conditionalFormatting sqref="H8">
    <cfRule type="containsText" dxfId="98" priority="4" operator="containsText" text="Completed">
      <formula>NOT(ISERROR(SEARCH("Completed",H8)))</formula>
    </cfRule>
    <cfRule type="containsText" dxfId="97" priority="5" operator="containsText" text="In Progress">
      <formula>NOT(ISERROR(SEARCH("In Progress",H8)))</formula>
    </cfRule>
    <cfRule type="containsText" dxfId="96" priority="6" operator="containsText" text="At Risk">
      <formula>NOT(ISERROR(SEARCH("At Risk",H8)))</formula>
    </cfRule>
    <cfRule type="containsText" dxfId="95" priority="7" operator="containsText" text="Blocked">
      <formula>NOT(ISERROR(SEARCH("Blocked",H8)))</formula>
    </cfRule>
    <cfRule type="containsText" dxfId="94" priority="8" operator="containsText" text="Not Started">
      <formula>NOT(ISERROR(SEARCH("Not Started",H8)))</formula>
    </cfRule>
  </conditionalFormatting>
  <conditionalFormatting sqref="K4:K7">
    <cfRule type="dataBar" priority="19">
      <dataBar>
        <cfvo type="min"/>
        <cfvo type="max"/>
        <color rgb="FF5B9BD5"/>
      </dataBar>
    </cfRule>
    <cfRule type="dataBar" priority="20">
      <dataBar>
        <cfvo type="min"/>
        <cfvo type="max"/>
        <color rgb="FF5B9BD5"/>
      </dataBar>
      <extLst>
        <ext xmlns:x14="http://schemas.microsoft.com/office/spreadsheetml/2009/9/main" uri="{B025F937-C7B1-47D3-B67F-A62EFF666E3E}">
          <x14:id>{31299ADD-143D-413D-82D8-B7EC96DC5D76}</x14:id>
        </ext>
      </extLst>
    </cfRule>
  </conditionalFormatting>
  <conditionalFormatting sqref="K8">
    <cfRule type="dataBar" priority="9">
      <dataBar>
        <cfvo type="min"/>
        <cfvo type="max"/>
        <color rgb="FF5B9BD5"/>
      </dataBar>
    </cfRule>
    <cfRule type="dataBar" priority="10">
      <dataBar>
        <cfvo type="min"/>
        <cfvo type="max"/>
        <color rgb="FF5B9BD5"/>
      </dataBar>
      <extLst>
        <ext xmlns:x14="http://schemas.microsoft.com/office/spreadsheetml/2009/9/main" uri="{B025F937-C7B1-47D3-B67F-A62EFF666E3E}">
          <x14:id>{5D3789F3-D091-445B-9E8D-282843424853}</x14:id>
        </ext>
      </extLst>
    </cfRule>
  </conditionalFormatting>
  <dataValidations count="1">
    <dataValidation type="list" sqref="H4:H8" xr:uid="{96476836-665F-4D67-B8AE-06FD2D683D5E}">
      <formula1>"Not Started,In Progress,At Risk,Blocked,On Hold,Completed"</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1299ADD-143D-413D-82D8-B7EC96DC5D76}">
            <x14:dataBar>
              <x14:cfvo type="min"/>
              <x14:cfvo type="max"/>
              <x14:negativeFillColor auto="1"/>
              <x14:axisColor auto="1"/>
            </x14:dataBar>
          </x14:cfRule>
          <xm:sqref>K4:K7</xm:sqref>
        </x14:conditionalFormatting>
        <x14:conditionalFormatting xmlns:xm="http://schemas.microsoft.com/office/excel/2006/main">
          <x14:cfRule type="dataBar" id="{5D3789F3-D091-445B-9E8D-282843424853}">
            <x14:dataBar>
              <x14:cfvo type="min"/>
              <x14:cfvo type="max"/>
              <x14:negativeFillColor auto="1"/>
              <x14:axisColor auto="1"/>
            </x14:dataBar>
          </x14:cfRule>
          <xm:sqref>K8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5"/>
  <sheetViews>
    <sheetView showGridLines="0" workbookViewId="0">
      <pane ySplit="1" topLeftCell="A2" activePane="bottomLeft" state="frozen"/>
      <selection pane="bottomLeft" activeCell="B2" sqref="B2"/>
    </sheetView>
  </sheetViews>
  <sheetFormatPr defaultColWidth="8.7265625" defaultRowHeight="14.5"/>
  <cols>
    <col min="1" max="1" width="6" style="28" customWidth="1"/>
    <col min="2" max="2" width="35" style="28" customWidth="1"/>
    <col min="3" max="4" width="22" style="28" customWidth="1"/>
    <col min="5" max="5" width="14" style="28" customWidth="1"/>
    <col min="6" max="6" width="15.36328125" style="28" customWidth="1"/>
    <col min="7" max="7" width="16" style="28" customWidth="1"/>
    <col min="8" max="8" width="38" style="28" customWidth="1"/>
    <col min="9" max="10" width="54" style="28" customWidth="1"/>
    <col min="11" max="11" width="29" style="28" customWidth="1"/>
    <col min="12" max="12" width="38" style="28" customWidth="1"/>
    <col min="13" max="13" width="36" style="28" customWidth="1"/>
    <col min="14" max="14" width="30" style="28" customWidth="1"/>
    <col min="15" max="16384" width="8.7265625" style="28"/>
  </cols>
  <sheetData>
    <row r="1" spans="1:14" ht="34" customHeight="1" thickBot="1">
      <c r="A1" s="80" t="s">
        <v>0</v>
      </c>
      <c r="B1" s="80" t="s">
        <v>1</v>
      </c>
      <c r="C1" s="80" t="s">
        <v>2</v>
      </c>
      <c r="D1" s="80" t="s">
        <v>3</v>
      </c>
      <c r="E1" s="80" t="s">
        <v>4</v>
      </c>
      <c r="F1" s="80" t="s">
        <v>789</v>
      </c>
      <c r="G1" s="80" t="s">
        <v>5</v>
      </c>
      <c r="H1" s="80" t="s">
        <v>6</v>
      </c>
      <c r="I1" s="80" t="s">
        <v>7</v>
      </c>
      <c r="J1" s="80" t="s">
        <v>8</v>
      </c>
      <c r="K1" s="80" t="s">
        <v>9</v>
      </c>
      <c r="L1" s="80" t="s">
        <v>10</v>
      </c>
      <c r="M1" s="80" t="s">
        <v>11</v>
      </c>
      <c r="N1" s="80" t="s">
        <v>12</v>
      </c>
    </row>
    <row r="2" spans="1:14" ht="87">
      <c r="A2" s="29">
        <v>1</v>
      </c>
      <c r="B2" s="30" t="s">
        <v>211</v>
      </c>
      <c r="C2" s="29" t="s">
        <v>18</v>
      </c>
      <c r="D2" s="81" t="s">
        <v>22</v>
      </c>
      <c r="E2" s="29" t="s">
        <v>14</v>
      </c>
      <c r="F2" s="29" t="s">
        <v>14</v>
      </c>
      <c r="G2" s="82">
        <v>0.75</v>
      </c>
      <c r="H2" s="30" t="s">
        <v>212</v>
      </c>
      <c r="I2" s="30" t="s">
        <v>1039</v>
      </c>
      <c r="J2" s="30" t="s">
        <v>1040</v>
      </c>
      <c r="K2" s="30" t="s">
        <v>213</v>
      </c>
      <c r="L2" s="30" t="s">
        <v>1041</v>
      </c>
      <c r="M2" s="30" t="s">
        <v>1042</v>
      </c>
      <c r="N2" s="30" t="s">
        <v>1043</v>
      </c>
    </row>
    <row r="3" spans="1:14" ht="43.5">
      <c r="A3" s="29">
        <v>2</v>
      </c>
      <c r="B3" s="30" t="s">
        <v>214</v>
      </c>
      <c r="C3" s="29" t="s">
        <v>18</v>
      </c>
      <c r="D3" s="81" t="s">
        <v>22</v>
      </c>
      <c r="E3" s="29" t="s">
        <v>14</v>
      </c>
      <c r="F3" s="29" t="s">
        <v>215</v>
      </c>
      <c r="G3" s="82">
        <v>0.74</v>
      </c>
      <c r="H3" s="30" t="s">
        <v>216</v>
      </c>
      <c r="I3" s="30" t="s">
        <v>1044</v>
      </c>
      <c r="J3" s="30" t="s">
        <v>1045</v>
      </c>
      <c r="K3" s="30" t="s">
        <v>213</v>
      </c>
      <c r="L3" s="30" t="s">
        <v>1046</v>
      </c>
      <c r="M3" s="30" t="s">
        <v>1047</v>
      </c>
      <c r="N3" s="30" t="s">
        <v>1048</v>
      </c>
    </row>
    <row r="4" spans="1:14" ht="43.5">
      <c r="A4" s="29">
        <v>3</v>
      </c>
      <c r="B4" s="30" t="s">
        <v>217</v>
      </c>
      <c r="C4" s="29" t="s">
        <v>18</v>
      </c>
      <c r="D4" s="81" t="s">
        <v>22</v>
      </c>
      <c r="E4" s="29" t="s">
        <v>14</v>
      </c>
      <c r="F4" s="29" t="s">
        <v>14</v>
      </c>
      <c r="G4" s="82">
        <v>0.13</v>
      </c>
      <c r="H4" s="30" t="s">
        <v>218</v>
      </c>
      <c r="I4" s="30" t="s">
        <v>535</v>
      </c>
      <c r="J4" s="30" t="s">
        <v>536</v>
      </c>
      <c r="K4" s="30" t="s">
        <v>219</v>
      </c>
      <c r="L4" s="30" t="s">
        <v>537</v>
      </c>
      <c r="M4" s="30" t="s">
        <v>538</v>
      </c>
      <c r="N4" s="30" t="s">
        <v>539</v>
      </c>
    </row>
    <row r="5" spans="1:14" ht="58">
      <c r="A5" s="29">
        <v>4</v>
      </c>
      <c r="B5" s="30" t="s">
        <v>220</v>
      </c>
      <c r="C5" s="29" t="s">
        <v>18</v>
      </c>
      <c r="D5" s="81" t="s">
        <v>22</v>
      </c>
      <c r="E5" s="29" t="s">
        <v>14</v>
      </c>
      <c r="F5" s="29" t="s">
        <v>221</v>
      </c>
      <c r="G5" s="82">
        <v>0.55000000000000004</v>
      </c>
      <c r="H5" s="30" t="s">
        <v>222</v>
      </c>
      <c r="I5" s="30" t="s">
        <v>540</v>
      </c>
      <c r="J5" s="30" t="s">
        <v>541</v>
      </c>
      <c r="K5" s="30" t="s">
        <v>213</v>
      </c>
      <c r="L5" s="30" t="s">
        <v>223</v>
      </c>
      <c r="M5" s="30" t="s">
        <v>542</v>
      </c>
      <c r="N5" s="30" t="s">
        <v>543</v>
      </c>
    </row>
    <row r="6" spans="1:14" ht="72.5">
      <c r="A6" s="29">
        <v>5</v>
      </c>
      <c r="B6" s="30" t="s">
        <v>224</v>
      </c>
      <c r="C6" s="29" t="s">
        <v>18</v>
      </c>
      <c r="D6" s="81" t="s">
        <v>22</v>
      </c>
      <c r="E6" s="29" t="s">
        <v>14</v>
      </c>
      <c r="F6" s="29" t="s">
        <v>225</v>
      </c>
      <c r="G6" s="82">
        <v>0.8</v>
      </c>
      <c r="H6" s="30" t="s">
        <v>226</v>
      </c>
      <c r="I6" s="30" t="s">
        <v>1049</v>
      </c>
      <c r="J6" s="30" t="s">
        <v>1050</v>
      </c>
      <c r="K6" s="30" t="s">
        <v>219</v>
      </c>
      <c r="L6" s="30" t="s">
        <v>1051</v>
      </c>
      <c r="M6" s="30" t="s">
        <v>1052</v>
      </c>
      <c r="N6" s="30" t="s">
        <v>1053</v>
      </c>
    </row>
    <row r="7" spans="1:14" ht="29">
      <c r="A7" s="29">
        <v>6</v>
      </c>
      <c r="B7" s="30" t="s">
        <v>227</v>
      </c>
      <c r="C7" s="29" t="s">
        <v>18</v>
      </c>
      <c r="D7" s="81" t="s">
        <v>22</v>
      </c>
      <c r="E7" s="29" t="s">
        <v>14</v>
      </c>
      <c r="F7" s="29" t="s">
        <v>228</v>
      </c>
      <c r="G7" s="82">
        <v>0.5</v>
      </c>
      <c r="H7" s="30" t="s">
        <v>229</v>
      </c>
      <c r="I7" s="30" t="s">
        <v>230</v>
      </c>
      <c r="J7" s="30" t="s">
        <v>231</v>
      </c>
      <c r="K7" s="30" t="s">
        <v>213</v>
      </c>
      <c r="L7" s="30" t="s">
        <v>232</v>
      </c>
      <c r="M7" s="30" t="s">
        <v>233</v>
      </c>
      <c r="N7" s="30" t="s">
        <v>234</v>
      </c>
    </row>
    <row r="8" spans="1:14" ht="29">
      <c r="A8" s="29">
        <v>7</v>
      </c>
      <c r="B8" s="30" t="s">
        <v>235</v>
      </c>
      <c r="C8" s="29" t="s">
        <v>18</v>
      </c>
      <c r="D8" s="81" t="s">
        <v>22</v>
      </c>
      <c r="E8" s="29" t="s">
        <v>14</v>
      </c>
      <c r="F8" s="29" t="s">
        <v>14</v>
      </c>
      <c r="G8" s="82">
        <v>0.8</v>
      </c>
      <c r="H8" s="30" t="s">
        <v>236</v>
      </c>
      <c r="I8" s="30" t="s">
        <v>237</v>
      </c>
      <c r="J8" s="30" t="s">
        <v>238</v>
      </c>
      <c r="K8" s="30" t="s">
        <v>219</v>
      </c>
      <c r="L8" s="30" t="s">
        <v>239</v>
      </c>
      <c r="M8" s="30" t="s">
        <v>240</v>
      </c>
      <c r="N8" s="30" t="s">
        <v>241</v>
      </c>
    </row>
    <row r="9" spans="1:14" ht="72.5">
      <c r="A9" s="29">
        <v>8</v>
      </c>
      <c r="B9" s="30" t="s">
        <v>1054</v>
      </c>
      <c r="C9" s="29" t="s">
        <v>18</v>
      </c>
      <c r="D9" s="81" t="s">
        <v>22</v>
      </c>
      <c r="E9" s="29" t="s">
        <v>14</v>
      </c>
      <c r="F9" s="29" t="s">
        <v>14</v>
      </c>
      <c r="G9" s="82">
        <v>0.3</v>
      </c>
      <c r="H9" s="30" t="s">
        <v>1055</v>
      </c>
      <c r="I9" s="30" t="s">
        <v>1056</v>
      </c>
      <c r="J9" s="30" t="s">
        <v>1057</v>
      </c>
      <c r="K9" s="30" t="s">
        <v>213</v>
      </c>
      <c r="L9" s="30" t="s">
        <v>1058</v>
      </c>
      <c r="M9" s="30" t="s">
        <v>1059</v>
      </c>
      <c r="N9" s="30" t="s">
        <v>1060</v>
      </c>
    </row>
    <row r="10" spans="1:14" ht="87">
      <c r="A10" s="29">
        <v>9</v>
      </c>
      <c r="B10" s="30" t="s">
        <v>1061</v>
      </c>
      <c r="C10" s="29" t="s">
        <v>18</v>
      </c>
      <c r="D10" s="81" t="s">
        <v>22</v>
      </c>
      <c r="E10" s="29" t="s">
        <v>14</v>
      </c>
      <c r="F10" s="29" t="s">
        <v>14</v>
      </c>
      <c r="G10" s="82">
        <v>0.2</v>
      </c>
      <c r="H10" s="30" t="s">
        <v>1062</v>
      </c>
      <c r="I10" s="30" t="s">
        <v>1063</v>
      </c>
      <c r="J10" s="30" t="s">
        <v>1064</v>
      </c>
      <c r="K10" s="30" t="s">
        <v>219</v>
      </c>
      <c r="L10" s="30" t="s">
        <v>1065</v>
      </c>
      <c r="M10" s="30" t="s">
        <v>1066</v>
      </c>
      <c r="N10" s="30" t="s">
        <v>1067</v>
      </c>
    </row>
    <row r="11" spans="1:14">
      <c r="A11" s="31"/>
      <c r="B11" s="31"/>
      <c r="C11" s="31"/>
      <c r="D11" s="31"/>
      <c r="E11" s="31"/>
      <c r="F11" s="31"/>
      <c r="G11" s="32"/>
      <c r="H11" s="31"/>
      <c r="I11" s="31"/>
      <c r="J11" s="31"/>
      <c r="K11" s="31"/>
      <c r="L11" s="31"/>
      <c r="M11" s="31"/>
      <c r="N11" s="31"/>
    </row>
    <row r="15" spans="1:14">
      <c r="G15" s="122"/>
    </row>
  </sheetData>
  <conditionalFormatting sqref="C2:C10">
    <cfRule type="containsText" dxfId="35" priority="2" operator="containsText" text="Completed"/>
    <cfRule type="containsText" dxfId="34" priority="3" operator="containsText" text="In Progress"/>
    <cfRule type="containsText" dxfId="33" priority="4" operator="containsText" text="At Risk"/>
    <cfRule type="containsText" dxfId="32" priority="5" operator="containsText" text="Not Started"/>
  </conditionalFormatting>
  <conditionalFormatting sqref="G2:G9">
    <cfRule type="dataBar" priority="8">
      <dataBar>
        <cfvo type="min"/>
        <cfvo type="max"/>
        <color rgb="FF5B9BD5"/>
      </dataBar>
    </cfRule>
    <cfRule type="dataBar" priority="9">
      <dataBar>
        <cfvo type="min"/>
        <cfvo type="max"/>
        <color rgb="FF5B9BD5"/>
      </dataBar>
    </cfRule>
    <cfRule type="dataBar" priority="10">
      <dataBar>
        <cfvo type="min"/>
        <cfvo type="max"/>
        <color rgb="FF5B9BD5"/>
      </dataBar>
      <extLst>
        <ext xmlns:x14="http://schemas.microsoft.com/office/spreadsheetml/2009/9/main" uri="{B025F937-C7B1-47D3-B67F-A62EFF666E3E}">
          <x14:id>{6C056180-504E-40C1-9895-D716546AF142}</x14:id>
        </ext>
      </extLst>
    </cfRule>
  </conditionalFormatting>
  <conditionalFormatting sqref="G10">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extLst>
        <ext xmlns:x14="http://schemas.microsoft.com/office/spreadsheetml/2009/9/main" uri="{B025F937-C7B1-47D3-B67F-A62EFF666E3E}">
          <x14:id>{FBA7D517-A031-4FFB-9515-38C1B7F99E12}</x14:id>
        </ext>
      </extLst>
    </cfRule>
  </conditionalFormatting>
  <dataValidations count="2">
    <dataValidation type="decimal" sqref="G2:G9" xr:uid="{EED5FCF1-094C-41E5-A390-51ECCA395D7F}">
      <formula1>0</formula1>
      <formula2>1</formula2>
    </dataValidation>
    <dataValidation type="list" sqref="C2:C9" xr:uid="{1DA0B624-E48C-4D53-8539-77561C58ABCF}">
      <formula1>"Not Started,Pending,In Progress,Ongoing,At Risk,On Hold,Completed,Roadmap,Readiness,Evaluation"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6C056180-504E-40C1-9895-D716546AF142}">
            <x14:dataBar>
              <x14:cfvo type="min"/>
              <x14:cfvo type="max"/>
              <x14:negativeFillColor auto="1"/>
              <x14:axisColor auto="1"/>
            </x14:dataBar>
          </x14:cfRule>
          <xm:sqref>G2:G9</xm:sqref>
        </x14:conditionalFormatting>
        <x14:conditionalFormatting xmlns:xm="http://schemas.microsoft.com/office/excel/2006/main">
          <x14:cfRule type="dataBar" id="{FBA7D517-A031-4FFB-9515-38C1B7F99E12}">
            <x14:dataBar>
              <x14:cfvo type="min"/>
              <x14:cfvo type="max"/>
              <x14:negativeFillColor auto="1"/>
              <x14:axisColor auto="1"/>
            </x14:dataBar>
          </x14:cfRule>
          <xm:sqref>G10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9"/>
  <sheetViews>
    <sheetView showGridLines="0" tabSelected="1" workbookViewId="0">
      <pane ySplit="1" topLeftCell="A2" activePane="bottomLeft" state="frozen"/>
      <selection pane="bottomLeft" activeCell="B3" sqref="B3"/>
    </sheetView>
  </sheetViews>
  <sheetFormatPr defaultRowHeight="14"/>
  <cols>
    <col min="1" max="1" width="6" customWidth="1"/>
    <col min="2" max="2" width="33" customWidth="1"/>
    <col min="3" max="3" width="24" customWidth="1"/>
    <col min="4" max="4" width="13" customWidth="1"/>
    <col min="5" max="5" width="18" customWidth="1"/>
    <col min="6" max="6" width="16" customWidth="1"/>
    <col min="7" max="7" width="39" customWidth="1"/>
    <col min="8" max="8" width="57" customWidth="1"/>
    <col min="9" max="9" width="58" customWidth="1"/>
    <col min="10" max="10" width="35" customWidth="1"/>
    <col min="11" max="11" width="44" customWidth="1"/>
    <col min="12" max="12" width="48" customWidth="1"/>
    <col min="13" max="13" width="34" customWidth="1"/>
    <col min="14" max="14" width="220" customWidth="1"/>
  </cols>
  <sheetData>
    <row r="1" spans="1:14" ht="34" customHeight="1" thickBot="1">
      <c r="A1" s="3" t="s">
        <v>0</v>
      </c>
      <c r="B1" s="3" t="s">
        <v>1</v>
      </c>
      <c r="C1" s="3" t="s">
        <v>2</v>
      </c>
      <c r="D1" s="3" t="s">
        <v>3</v>
      </c>
      <c r="E1" s="3" t="s">
        <v>4</v>
      </c>
      <c r="F1" s="3" t="s">
        <v>789</v>
      </c>
      <c r="G1" s="3" t="s">
        <v>5</v>
      </c>
      <c r="H1" s="3" t="s">
        <v>6</v>
      </c>
      <c r="I1" s="3" t="s">
        <v>7</v>
      </c>
      <c r="J1" s="3" t="s">
        <v>8</v>
      </c>
      <c r="K1" s="3" t="s">
        <v>9</v>
      </c>
      <c r="L1" s="3" t="s">
        <v>10</v>
      </c>
      <c r="M1" s="3" t="s">
        <v>11</v>
      </c>
      <c r="N1" s="3" t="s">
        <v>12</v>
      </c>
    </row>
    <row r="2" spans="1:14" ht="26.5" customHeight="1">
      <c r="A2" s="33">
        <v>1</v>
      </c>
      <c r="B2" s="34" t="s">
        <v>242</v>
      </c>
      <c r="C2" s="33" t="s">
        <v>544</v>
      </c>
      <c r="D2" s="127" t="s">
        <v>22</v>
      </c>
      <c r="E2" s="35" t="s">
        <v>14</v>
      </c>
      <c r="F2" s="36" t="s">
        <v>14</v>
      </c>
      <c r="G2" s="128">
        <v>0.9</v>
      </c>
      <c r="H2" s="34" t="s">
        <v>545</v>
      </c>
      <c r="I2" s="34" t="s">
        <v>546</v>
      </c>
      <c r="J2" s="34" t="s">
        <v>547</v>
      </c>
      <c r="K2" s="34" t="s">
        <v>548</v>
      </c>
      <c r="L2" s="34" t="s">
        <v>549</v>
      </c>
      <c r="M2" s="34" t="s">
        <v>550</v>
      </c>
      <c r="N2" s="129" t="s">
        <v>551</v>
      </c>
    </row>
    <row r="3" spans="1:14" ht="116">
      <c r="A3" s="37">
        <v>2</v>
      </c>
      <c r="B3" s="38" t="s">
        <v>243</v>
      </c>
      <c r="C3" s="37" t="s">
        <v>244</v>
      </c>
      <c r="D3" s="127" t="s">
        <v>22</v>
      </c>
      <c r="E3" s="39" t="s">
        <v>14</v>
      </c>
      <c r="F3" s="36" t="s">
        <v>14</v>
      </c>
      <c r="G3" s="130">
        <v>0.9</v>
      </c>
      <c r="H3" s="38" t="s">
        <v>245</v>
      </c>
      <c r="I3" s="38" t="s">
        <v>246</v>
      </c>
      <c r="J3" s="38" t="s">
        <v>247</v>
      </c>
      <c r="K3" s="38" t="s">
        <v>248</v>
      </c>
      <c r="L3" s="38" t="s">
        <v>249</v>
      </c>
      <c r="M3" s="38" t="s">
        <v>250</v>
      </c>
      <c r="N3" s="131" t="s">
        <v>251</v>
      </c>
    </row>
    <row r="4" spans="1:14" ht="108" customHeight="1">
      <c r="A4" s="37">
        <v>3</v>
      </c>
      <c r="B4" s="38" t="s">
        <v>252</v>
      </c>
      <c r="C4" s="37" t="s">
        <v>1121</v>
      </c>
      <c r="D4" s="132" t="s">
        <v>13</v>
      </c>
      <c r="E4" s="39">
        <v>46303</v>
      </c>
      <c r="F4" s="40" t="s">
        <v>1122</v>
      </c>
      <c r="G4" s="130">
        <v>0.75</v>
      </c>
      <c r="H4" s="38" t="s">
        <v>1123</v>
      </c>
      <c r="I4" s="38" t="s">
        <v>1124</v>
      </c>
      <c r="J4" s="38" t="s">
        <v>1125</v>
      </c>
      <c r="K4" s="38" t="s">
        <v>1126</v>
      </c>
      <c r="L4" s="38" t="s">
        <v>1127</v>
      </c>
      <c r="M4" s="38" t="s">
        <v>1128</v>
      </c>
      <c r="N4" s="133" t="s">
        <v>1129</v>
      </c>
    </row>
    <row r="5" spans="1:14" ht="116" customHeight="1">
      <c r="A5" s="37">
        <v>4</v>
      </c>
      <c r="B5" s="38" t="s">
        <v>253</v>
      </c>
      <c r="C5" s="37" t="s">
        <v>1130</v>
      </c>
      <c r="D5" s="134" t="s">
        <v>511</v>
      </c>
      <c r="E5" s="39">
        <v>46240</v>
      </c>
      <c r="F5" s="40" t="s">
        <v>1131</v>
      </c>
      <c r="G5" s="130">
        <v>0.4</v>
      </c>
      <c r="H5" s="38" t="s">
        <v>1132</v>
      </c>
      <c r="I5" s="38" t="s">
        <v>1133</v>
      </c>
      <c r="J5" s="38" t="s">
        <v>1134</v>
      </c>
      <c r="K5" s="38" t="s">
        <v>1135</v>
      </c>
      <c r="L5" s="38" t="s">
        <v>1136</v>
      </c>
      <c r="M5" s="38" t="s">
        <v>1137</v>
      </c>
      <c r="N5" s="131" t="s">
        <v>1138</v>
      </c>
    </row>
    <row r="6" spans="1:14" ht="174">
      <c r="A6" s="37">
        <v>5</v>
      </c>
      <c r="B6" s="38" t="s">
        <v>254</v>
      </c>
      <c r="C6" s="37" t="s">
        <v>1139</v>
      </c>
      <c r="D6" s="135" t="s">
        <v>13</v>
      </c>
      <c r="E6" s="39" t="s">
        <v>519</v>
      </c>
      <c r="F6" s="40" t="s">
        <v>1140</v>
      </c>
      <c r="G6" s="130">
        <v>0.7</v>
      </c>
      <c r="H6" s="38" t="s">
        <v>1141</v>
      </c>
      <c r="I6" s="38" t="s">
        <v>1142</v>
      </c>
      <c r="J6" s="38" t="s">
        <v>1143</v>
      </c>
      <c r="K6" s="38" t="s">
        <v>1144</v>
      </c>
      <c r="L6" s="38" t="s">
        <v>1145</v>
      </c>
      <c r="M6" s="38" t="s">
        <v>1146</v>
      </c>
      <c r="N6" s="133" t="s">
        <v>1147</v>
      </c>
    </row>
    <row r="7" spans="1:14" ht="72.5">
      <c r="A7" s="37">
        <v>6</v>
      </c>
      <c r="B7" s="38" t="s">
        <v>256</v>
      </c>
      <c r="C7" s="37" t="s">
        <v>76</v>
      </c>
      <c r="D7" s="127" t="s">
        <v>22</v>
      </c>
      <c r="E7" s="39">
        <v>46234</v>
      </c>
      <c r="F7" s="40" t="s">
        <v>572</v>
      </c>
      <c r="G7" s="130">
        <v>1</v>
      </c>
      <c r="H7" s="38" t="s">
        <v>257</v>
      </c>
      <c r="I7" s="38" t="s">
        <v>258</v>
      </c>
      <c r="J7" s="38" t="s">
        <v>259</v>
      </c>
      <c r="K7" s="38" t="s">
        <v>260</v>
      </c>
      <c r="L7" s="38" t="s">
        <v>261</v>
      </c>
      <c r="M7" s="38" t="s">
        <v>262</v>
      </c>
      <c r="N7" s="131" t="s">
        <v>255</v>
      </c>
    </row>
    <row r="8" spans="1:14" ht="116">
      <c r="A8" s="2">
        <v>7</v>
      </c>
      <c r="B8" s="38" t="s">
        <v>263</v>
      </c>
      <c r="C8" s="37" t="s">
        <v>1148</v>
      </c>
      <c r="D8" s="127" t="s">
        <v>22</v>
      </c>
      <c r="E8" s="39">
        <v>46188</v>
      </c>
      <c r="F8" s="40" t="s">
        <v>1149</v>
      </c>
      <c r="G8" s="130">
        <v>0.8</v>
      </c>
      <c r="H8" s="38" t="s">
        <v>1150</v>
      </c>
      <c r="I8" s="38" t="s">
        <v>1151</v>
      </c>
      <c r="J8" s="38" t="s">
        <v>1152</v>
      </c>
      <c r="K8" s="38" t="s">
        <v>1153</v>
      </c>
      <c r="L8" s="38" t="s">
        <v>1154</v>
      </c>
      <c r="M8" s="38" t="s">
        <v>1155</v>
      </c>
      <c r="N8" s="133" t="s">
        <v>1156</v>
      </c>
    </row>
    <row r="9" spans="1:14" ht="188.5">
      <c r="A9" s="37">
        <v>8</v>
      </c>
      <c r="B9" s="38" t="s">
        <v>552</v>
      </c>
      <c r="C9" s="37" t="s">
        <v>1157</v>
      </c>
      <c r="D9" s="135" t="s">
        <v>13</v>
      </c>
      <c r="E9" s="39" t="s">
        <v>553</v>
      </c>
      <c r="F9" s="40" t="s">
        <v>1158</v>
      </c>
      <c r="G9" s="130">
        <v>0.7</v>
      </c>
      <c r="H9" s="38" t="s">
        <v>1159</v>
      </c>
      <c r="I9" s="38" t="s">
        <v>1160</v>
      </c>
      <c r="J9" s="38" t="s">
        <v>1161</v>
      </c>
      <c r="K9" s="38" t="s">
        <v>1162</v>
      </c>
      <c r="L9" s="38" t="s">
        <v>1163</v>
      </c>
      <c r="M9" s="38" t="s">
        <v>1164</v>
      </c>
      <c r="N9" s="136" t="s">
        <v>1165</v>
      </c>
    </row>
  </sheetData>
  <conditionalFormatting sqref="C2">
    <cfRule type="containsText" dxfId="9" priority="5" operator="containsText" text="Completed"/>
    <cfRule type="containsText" dxfId="8" priority="6" operator="containsText" text="In Progress"/>
    <cfRule type="containsText" dxfId="7" priority="7" operator="containsText" text="At Risk"/>
    <cfRule type="containsText" dxfId="6" priority="8" operator="containsText" text="Not Started"/>
  </conditionalFormatting>
  <conditionalFormatting sqref="C2:C8">
    <cfRule type="containsText" dxfId="5" priority="11" operator="containsText" text="At Risk"/>
    <cfRule type="containsText" dxfId="4" priority="12" operator="containsText" text="Yellow"/>
    <cfRule type="containsText" dxfId="3" priority="13" operator="containsText" text="Validation Pending"/>
  </conditionalFormatting>
  <conditionalFormatting sqref="D2:D8">
    <cfRule type="containsText" dxfId="2" priority="1" operator="containsText" text="At Risk"/>
    <cfRule type="containsText" dxfId="1" priority="2" operator="containsText" text="Amber"/>
    <cfRule type="containsText" dxfId="0" priority="3" operator="containsText" text="Green"/>
  </conditionalFormatting>
  <conditionalFormatting sqref="F2:F3">
    <cfRule type="dataBar" priority="4">
      <dataBar>
        <cfvo type="min"/>
        <cfvo type="max"/>
        <color rgb="FF5B9BD5"/>
      </dataBar>
    </cfRule>
    <cfRule type="dataBar" priority="9">
      <dataBar>
        <cfvo type="min"/>
        <cfvo type="max"/>
        <color rgb="FF5B9BD5"/>
      </dataBar>
    </cfRule>
    <cfRule type="dataBar" priority="14">
      <dataBar>
        <cfvo type="min"/>
        <cfvo type="max"/>
        <color rgb="FF5B9BD5"/>
      </dataBar>
    </cfRule>
    <cfRule type="dataBar" priority="16">
      <dataBar>
        <cfvo type="min"/>
        <cfvo type="max"/>
        <color rgb="FF5B9BD5"/>
      </dataBar>
    </cfRule>
    <cfRule type="dataBar" priority="18">
      <dataBar>
        <cfvo type="min"/>
        <cfvo type="max"/>
        <color rgb="FF5B9BD5"/>
      </dataBar>
    </cfRule>
    <cfRule type="dataBar" priority="20">
      <dataBar>
        <cfvo type="min"/>
        <cfvo type="max"/>
        <color rgb="FF5B9BD5"/>
      </dataBar>
    </cfRule>
    <cfRule type="dataBar" priority="22">
      <dataBar>
        <cfvo type="min"/>
        <cfvo type="max"/>
        <color rgb="FF5B9BD5"/>
      </dataBar>
    </cfRule>
    <cfRule type="dataBar" priority="24">
      <dataBar>
        <cfvo type="min"/>
        <cfvo type="max"/>
        <color rgb="FF5B9BD5"/>
      </dataBar>
    </cfRule>
    <cfRule type="dataBar" priority="26">
      <dataBar>
        <cfvo type="min"/>
        <cfvo type="max"/>
        <color rgb="FF5B9BD5"/>
      </dataBar>
    </cfRule>
    <cfRule type="dataBar" priority="28">
      <dataBar>
        <cfvo type="min"/>
        <cfvo type="max"/>
        <color rgb="FF5B9BD5"/>
      </dataBar>
    </cfRule>
    <cfRule type="dataBar" priority="30">
      <dataBar>
        <cfvo type="min"/>
        <cfvo type="max"/>
        <color rgb="FF5B9BD5"/>
      </dataBar>
    </cfRule>
    <cfRule type="dataBar" priority="32">
      <dataBar>
        <cfvo type="min"/>
        <cfvo type="max"/>
        <color rgb="FF5B9BD5"/>
      </dataBar>
    </cfRule>
    <cfRule type="dataBar" priority="34">
      <dataBar>
        <cfvo type="min"/>
        <cfvo type="max"/>
        <color rgb="FF5B9BD5"/>
      </dataBar>
    </cfRule>
    <cfRule type="dataBar" priority="36">
      <dataBar>
        <cfvo type="min"/>
        <cfvo type="max"/>
        <color rgb="FF5B9BD5"/>
      </dataBar>
      <extLst>
        <ext xmlns:x14="http://schemas.microsoft.com/office/spreadsheetml/2009/9/main" uri="{B025F937-C7B1-47D3-B67F-A62EFF666E3E}">
          <x14:id>{36B299EA-A129-4A20-942C-5E5F0C426099}</x14:id>
        </ext>
      </extLst>
    </cfRule>
  </conditionalFormatting>
  <conditionalFormatting sqref="F2:F8">
    <cfRule type="dataBar" priority="10">
      <dataBar>
        <cfvo type="min"/>
        <cfvo type="max"/>
        <color rgb="FF5B9BD5"/>
      </dataBar>
    </cfRule>
    <cfRule type="dataBar" priority="15">
      <dataBar>
        <cfvo type="min"/>
        <cfvo type="max"/>
        <color rgb="FF5B9BD5"/>
      </dataBar>
    </cfRule>
    <cfRule type="dataBar" priority="17">
      <dataBar>
        <cfvo type="min"/>
        <cfvo type="max"/>
        <color rgb="FF5B9BD5"/>
      </dataBar>
    </cfRule>
    <cfRule type="dataBar" priority="19">
      <dataBar>
        <cfvo type="min"/>
        <cfvo type="max"/>
        <color rgb="FF5B9BD5"/>
      </dataBar>
    </cfRule>
    <cfRule type="dataBar" priority="21">
      <dataBar>
        <cfvo type="min"/>
        <cfvo type="max"/>
        <color rgb="FF5B9BD5"/>
      </dataBar>
    </cfRule>
    <cfRule type="dataBar" priority="23">
      <dataBar>
        <cfvo type="min"/>
        <cfvo type="max"/>
        <color rgb="FF5B9BD5"/>
      </dataBar>
    </cfRule>
    <cfRule type="dataBar" priority="25">
      <dataBar>
        <cfvo type="min"/>
        <cfvo type="max"/>
        <color rgb="FF5B9BD5"/>
      </dataBar>
    </cfRule>
    <cfRule type="dataBar" priority="27">
      <dataBar>
        <cfvo type="min"/>
        <cfvo type="max"/>
        <color rgb="FF5B9BD5"/>
      </dataBar>
    </cfRule>
    <cfRule type="dataBar" priority="29">
      <dataBar>
        <cfvo type="min"/>
        <cfvo type="max"/>
        <color rgb="FF5B9BD5"/>
      </dataBar>
    </cfRule>
    <cfRule type="dataBar" priority="31">
      <dataBar>
        <cfvo type="min"/>
        <cfvo type="max"/>
        <color rgb="FF5B9BD5"/>
      </dataBar>
    </cfRule>
    <cfRule type="dataBar" priority="33">
      <dataBar>
        <cfvo type="min"/>
        <cfvo type="max"/>
        <color rgb="FF5B9BD5"/>
      </dataBar>
    </cfRule>
    <cfRule type="dataBar" priority="35">
      <dataBar>
        <cfvo type="min"/>
        <cfvo type="max"/>
        <color rgb="FF5B9BD5"/>
      </dataBar>
    </cfRule>
    <cfRule type="dataBar" priority="37">
      <dataBar>
        <cfvo type="min"/>
        <cfvo type="max"/>
        <color rgb="FF5B9BD5"/>
      </dataBar>
      <extLst>
        <ext xmlns:x14="http://schemas.microsoft.com/office/spreadsheetml/2009/9/main" uri="{B025F937-C7B1-47D3-B67F-A62EFF666E3E}">
          <x14:id>{C69459C1-14AF-4B44-8C27-A071FB650A14}</x14:id>
        </ext>
      </extLst>
    </cfRule>
  </conditionalFormatting>
  <dataValidations count="4">
    <dataValidation type="list" sqref="C2" xr:uid="{914CA4B4-549C-4C5D-9CF9-A30133A04B29}">
      <formula1>"Not Started,Pending,In Progress,Ongoing,At Risk,On Hold,Completed,Roadmap,Readiness,Evaluation"</formula1>
    </dataValidation>
    <dataValidation type="decimal" sqref="F2:F7" xr:uid="{1937E6EC-D99C-43E2-AB94-8820B2930943}">
      <formula1>0</formula1>
      <formula2>1</formula2>
    </dataValidation>
    <dataValidation type="list" sqref="C2:C5" xr:uid="{98FCC9CF-EEC3-45F6-BD70-EA51B28EED41}">
      <formula1>"Not Started,In Progress,At Risk / In Progress,At Risk / Support Needed,Validation Pending,Yellow – Testing Progressing,On Hold,Completed"</formula1>
    </dataValidation>
    <dataValidation type="list" sqref="D2:D8" xr:uid="{DA054B18-879A-4056-8D1F-A04F853AD9D6}">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36B299EA-A129-4A20-942C-5E5F0C426099}">
            <x14:dataBar>
              <x14:cfvo type="min"/>
              <x14:cfvo type="max"/>
              <x14:negativeFillColor auto="1"/>
              <x14:axisColor auto="1"/>
            </x14:dataBar>
          </x14:cfRule>
          <xm:sqref>F2:F3</xm:sqref>
        </x14:conditionalFormatting>
        <x14:conditionalFormatting xmlns:xm="http://schemas.microsoft.com/office/excel/2006/main">
          <x14:cfRule type="dataBar" id="{C69459C1-14AF-4B44-8C27-A071FB650A14}">
            <x14:dataBar>
              <x14:cfvo type="min"/>
              <x14:cfvo type="max"/>
              <x14:negativeFillColor auto="1"/>
              <x14:axisColor auto="1"/>
            </x14:dataBar>
          </x14:cfRule>
          <xm:sqref>F2:F8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7"/>
  <sheetViews>
    <sheetView showGridLines="0" workbookViewId="0">
      <pane ySplit="1" topLeftCell="A2" activePane="bottomLeft" state="frozen"/>
      <selection pane="bottomLeft" activeCell="B3" sqref="B3"/>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 min="14" max="14" width="24" customWidth="1"/>
  </cols>
  <sheetData>
    <row r="1" spans="1:14" ht="34" customHeight="1">
      <c r="A1" s="6" t="s">
        <v>0</v>
      </c>
      <c r="B1" s="6" t="s">
        <v>1</v>
      </c>
      <c r="C1" s="6" t="s">
        <v>2</v>
      </c>
      <c r="D1" s="6" t="s">
        <v>3</v>
      </c>
      <c r="E1" s="6" t="s">
        <v>4</v>
      </c>
      <c r="F1" s="6" t="s">
        <v>789</v>
      </c>
      <c r="G1" s="6" t="s">
        <v>5</v>
      </c>
      <c r="H1" s="6" t="s">
        <v>6</v>
      </c>
      <c r="I1" s="6" t="s">
        <v>7</v>
      </c>
      <c r="J1" s="6" t="s">
        <v>8</v>
      </c>
      <c r="K1" s="6" t="s">
        <v>9</v>
      </c>
      <c r="L1" s="6" t="s">
        <v>10</v>
      </c>
      <c r="M1" s="6" t="s">
        <v>11</v>
      </c>
      <c r="N1" s="1" t="s">
        <v>12</v>
      </c>
    </row>
    <row r="2" spans="1:14" ht="15" customHeight="1">
      <c r="A2" s="7">
        <v>1</v>
      </c>
      <c r="B2" s="8" t="s">
        <v>264</v>
      </c>
      <c r="C2" s="7" t="s">
        <v>18</v>
      </c>
      <c r="D2" s="83" t="s">
        <v>13</v>
      </c>
      <c r="E2" s="9" t="s">
        <v>14</v>
      </c>
      <c r="F2" s="9" t="s">
        <v>14</v>
      </c>
      <c r="G2" s="23">
        <v>0.6</v>
      </c>
      <c r="H2" s="8" t="s">
        <v>265</v>
      </c>
      <c r="I2" s="8" t="s">
        <v>266</v>
      </c>
      <c r="J2" s="8" t="s">
        <v>267</v>
      </c>
      <c r="K2" s="8" t="s">
        <v>268</v>
      </c>
      <c r="L2" s="8" t="s">
        <v>269</v>
      </c>
      <c r="M2" s="8" t="s">
        <v>270</v>
      </c>
      <c r="N2" s="4" t="s">
        <v>16</v>
      </c>
    </row>
    <row r="3" spans="1:14" ht="160" customHeight="1">
      <c r="A3" s="84">
        <v>2</v>
      </c>
      <c r="B3" s="85" t="s">
        <v>790</v>
      </c>
      <c r="C3" s="100" t="s">
        <v>791</v>
      </c>
      <c r="D3" s="101" t="s">
        <v>511</v>
      </c>
      <c r="E3" s="87">
        <v>46237</v>
      </c>
      <c r="F3" s="87" t="s">
        <v>512</v>
      </c>
      <c r="G3" s="88">
        <v>0.6</v>
      </c>
      <c r="H3" s="85" t="s">
        <v>792</v>
      </c>
      <c r="I3" s="85" t="s">
        <v>793</v>
      </c>
      <c r="J3" s="85" t="s">
        <v>794</v>
      </c>
      <c r="K3" s="85" t="s">
        <v>795</v>
      </c>
      <c r="L3" s="85" t="s">
        <v>796</v>
      </c>
      <c r="M3" s="85" t="s">
        <v>797</v>
      </c>
      <c r="N3" s="85" t="s">
        <v>798</v>
      </c>
    </row>
    <row r="4" spans="1:14" ht="160" customHeight="1">
      <c r="A4" s="50">
        <v>3</v>
      </c>
      <c r="B4" s="51" t="s">
        <v>799</v>
      </c>
      <c r="C4" s="52" t="s">
        <v>682</v>
      </c>
      <c r="D4" s="89" t="s">
        <v>13</v>
      </c>
      <c r="E4" s="53">
        <v>46043</v>
      </c>
      <c r="F4" s="53">
        <v>46407</v>
      </c>
      <c r="G4" s="102">
        <v>0.65</v>
      </c>
      <c r="H4" s="51" t="s">
        <v>683</v>
      </c>
      <c r="I4" s="51" t="s">
        <v>684</v>
      </c>
      <c r="J4" s="51" t="s">
        <v>685</v>
      </c>
      <c r="K4" s="51" t="s">
        <v>686</v>
      </c>
      <c r="L4" s="51" t="s">
        <v>687</v>
      </c>
      <c r="M4" s="51" t="s">
        <v>688</v>
      </c>
      <c r="N4" s="56" t="s">
        <v>689</v>
      </c>
    </row>
    <row r="5" spans="1:14" ht="160" customHeight="1">
      <c r="A5" s="50">
        <v>4</v>
      </c>
      <c r="B5" s="51" t="s">
        <v>800</v>
      </c>
      <c r="C5" s="103" t="s">
        <v>801</v>
      </c>
      <c r="D5" s="89" t="s">
        <v>13</v>
      </c>
      <c r="E5" s="53">
        <v>46267</v>
      </c>
      <c r="F5" s="53" t="s">
        <v>690</v>
      </c>
      <c r="G5" s="102">
        <v>0.9</v>
      </c>
      <c r="H5" s="51" t="s">
        <v>802</v>
      </c>
      <c r="I5" s="51" t="s">
        <v>803</v>
      </c>
      <c r="J5" s="51" t="s">
        <v>804</v>
      </c>
      <c r="K5" s="51" t="s">
        <v>805</v>
      </c>
      <c r="L5" s="51" t="s">
        <v>806</v>
      </c>
      <c r="M5" s="51" t="s">
        <v>807</v>
      </c>
      <c r="N5" s="56" t="s">
        <v>798</v>
      </c>
    </row>
    <row r="6" spans="1:14" ht="160" customHeight="1">
      <c r="A6" s="50">
        <v>5</v>
      </c>
      <c r="B6" s="51" t="s">
        <v>271</v>
      </c>
      <c r="C6" s="103" t="s">
        <v>808</v>
      </c>
      <c r="D6" s="101" t="s">
        <v>511</v>
      </c>
      <c r="E6" s="53">
        <v>46267</v>
      </c>
      <c r="F6" s="53" t="s">
        <v>691</v>
      </c>
      <c r="G6" s="102">
        <v>0.6</v>
      </c>
      <c r="H6" s="51" t="s">
        <v>809</v>
      </c>
      <c r="I6" s="51" t="s">
        <v>810</v>
      </c>
      <c r="J6" s="51" t="s">
        <v>811</v>
      </c>
      <c r="K6" s="51" t="s">
        <v>812</v>
      </c>
      <c r="L6" s="51" t="s">
        <v>813</v>
      </c>
      <c r="M6" s="51" t="s">
        <v>814</v>
      </c>
      <c r="N6" s="56" t="s">
        <v>798</v>
      </c>
    </row>
    <row r="7" spans="1:14" ht="15" customHeight="1">
      <c r="A7" s="7">
        <v>6</v>
      </c>
      <c r="B7" s="8" t="s">
        <v>272</v>
      </c>
      <c r="C7" s="7" t="s">
        <v>273</v>
      </c>
      <c r="D7" s="90" t="s">
        <v>13</v>
      </c>
      <c r="E7" s="91">
        <v>46237</v>
      </c>
      <c r="F7" s="91" t="s">
        <v>14</v>
      </c>
      <c r="G7" s="23">
        <v>0.75</v>
      </c>
      <c r="H7" s="8" t="s">
        <v>274</v>
      </c>
      <c r="I7" s="8" t="s">
        <v>275</v>
      </c>
      <c r="J7" s="8" t="s">
        <v>276</v>
      </c>
      <c r="K7" s="8" t="s">
        <v>268</v>
      </c>
      <c r="L7" s="8" t="s">
        <v>277</v>
      </c>
      <c r="M7" s="8" t="s">
        <v>278</v>
      </c>
      <c r="N7" s="4" t="s">
        <v>16</v>
      </c>
    </row>
    <row r="8" spans="1:14" ht="160" customHeight="1">
      <c r="A8" s="50">
        <v>7</v>
      </c>
      <c r="B8" s="51" t="s">
        <v>279</v>
      </c>
      <c r="C8" s="52" t="s">
        <v>692</v>
      </c>
      <c r="D8" s="89" t="s">
        <v>13</v>
      </c>
      <c r="E8" s="53">
        <v>46266</v>
      </c>
      <c r="F8" s="53" t="s">
        <v>693</v>
      </c>
      <c r="G8" s="102">
        <v>0.48</v>
      </c>
      <c r="H8" s="51" t="s">
        <v>694</v>
      </c>
      <c r="I8" s="51" t="s">
        <v>695</v>
      </c>
      <c r="J8" s="51" t="s">
        <v>696</v>
      </c>
      <c r="K8" s="51" t="s">
        <v>697</v>
      </c>
      <c r="L8" s="51" t="s">
        <v>698</v>
      </c>
      <c r="M8" s="51" t="s">
        <v>699</v>
      </c>
      <c r="N8" s="56" t="s">
        <v>700</v>
      </c>
    </row>
    <row r="9" spans="1:14" ht="26.5" customHeight="1">
      <c r="A9" s="7">
        <v>8</v>
      </c>
      <c r="B9" s="8" t="s">
        <v>280</v>
      </c>
      <c r="C9" s="7" t="s">
        <v>281</v>
      </c>
      <c r="D9" s="90" t="s">
        <v>13</v>
      </c>
      <c r="E9" s="91">
        <v>46237</v>
      </c>
      <c r="F9" s="91" t="s">
        <v>14</v>
      </c>
      <c r="G9" s="23">
        <v>0.6</v>
      </c>
      <c r="H9" s="8" t="s">
        <v>282</v>
      </c>
      <c r="I9" s="8" t="s">
        <v>283</v>
      </c>
      <c r="J9" s="8" t="s">
        <v>284</v>
      </c>
      <c r="K9" s="8" t="s">
        <v>268</v>
      </c>
      <c r="L9" s="8" t="s">
        <v>285</v>
      </c>
      <c r="M9" s="8" t="s">
        <v>286</v>
      </c>
      <c r="N9" s="4" t="s">
        <v>16</v>
      </c>
    </row>
    <row r="10" spans="1:14" ht="26.5" customHeight="1">
      <c r="A10" s="7">
        <v>9</v>
      </c>
      <c r="B10" s="8" t="s">
        <v>287</v>
      </c>
      <c r="C10" s="7" t="s">
        <v>288</v>
      </c>
      <c r="D10" s="90" t="s">
        <v>13</v>
      </c>
      <c r="E10" s="91">
        <v>46237</v>
      </c>
      <c r="F10" s="91" t="s">
        <v>14</v>
      </c>
      <c r="G10" s="23">
        <v>0.6</v>
      </c>
      <c r="H10" s="8" t="s">
        <v>289</v>
      </c>
      <c r="I10" s="8" t="s">
        <v>290</v>
      </c>
      <c r="J10" s="8" t="s">
        <v>291</v>
      </c>
      <c r="K10" s="8" t="s">
        <v>268</v>
      </c>
      <c r="L10" s="8" t="s">
        <v>292</v>
      </c>
      <c r="M10" s="8" t="s">
        <v>293</v>
      </c>
      <c r="N10" s="4" t="s">
        <v>16</v>
      </c>
    </row>
    <row r="11" spans="1:14" ht="26.5" customHeight="1">
      <c r="A11" s="7">
        <v>10</v>
      </c>
      <c r="B11" s="8" t="s">
        <v>294</v>
      </c>
      <c r="C11" s="7" t="s">
        <v>295</v>
      </c>
      <c r="D11" s="90" t="s">
        <v>13</v>
      </c>
      <c r="E11" s="91">
        <v>46237</v>
      </c>
      <c r="F11" s="91" t="s">
        <v>14</v>
      </c>
      <c r="G11" s="23">
        <v>0.6</v>
      </c>
      <c r="H11" s="8" t="s">
        <v>296</v>
      </c>
      <c r="I11" s="8" t="s">
        <v>297</v>
      </c>
      <c r="J11" s="8" t="s">
        <v>298</v>
      </c>
      <c r="K11" s="8" t="s">
        <v>268</v>
      </c>
      <c r="L11" s="8" t="s">
        <v>299</v>
      </c>
      <c r="M11" s="8" t="s">
        <v>300</v>
      </c>
      <c r="N11" s="4" t="s">
        <v>16</v>
      </c>
    </row>
    <row r="12" spans="1:14" ht="15" customHeight="1">
      <c r="A12" s="7">
        <v>11</v>
      </c>
      <c r="B12" s="8" t="s">
        <v>301</v>
      </c>
      <c r="C12" s="7" t="s">
        <v>302</v>
      </c>
      <c r="D12" s="90" t="s">
        <v>13</v>
      </c>
      <c r="E12" s="91">
        <v>46237</v>
      </c>
      <c r="F12" s="91" t="s">
        <v>14</v>
      </c>
      <c r="G12" s="23">
        <v>0.5</v>
      </c>
      <c r="H12" s="8" t="s">
        <v>303</v>
      </c>
      <c r="I12" s="8" t="s">
        <v>304</v>
      </c>
      <c r="J12" s="8" t="s">
        <v>305</v>
      </c>
      <c r="K12" s="8" t="s">
        <v>268</v>
      </c>
      <c r="L12" s="8" t="s">
        <v>306</v>
      </c>
      <c r="M12" s="8" t="s">
        <v>307</v>
      </c>
      <c r="N12" s="4" t="s">
        <v>16</v>
      </c>
    </row>
    <row r="13" spans="1:14" ht="160" customHeight="1">
      <c r="A13" s="84">
        <v>12</v>
      </c>
      <c r="B13" s="92" t="s">
        <v>815</v>
      </c>
      <c r="C13" s="104" t="s">
        <v>816</v>
      </c>
      <c r="D13" s="90" t="s">
        <v>13</v>
      </c>
      <c r="E13" s="87">
        <v>46280</v>
      </c>
      <c r="F13" s="87" t="s">
        <v>701</v>
      </c>
      <c r="G13" s="88">
        <v>0.9</v>
      </c>
      <c r="H13" s="85" t="s">
        <v>817</v>
      </c>
      <c r="I13" s="85" t="s">
        <v>818</v>
      </c>
      <c r="J13" s="85" t="s">
        <v>819</v>
      </c>
      <c r="K13" s="85" t="s">
        <v>795</v>
      </c>
      <c r="L13" s="85" t="s">
        <v>820</v>
      </c>
      <c r="M13" s="85" t="s">
        <v>821</v>
      </c>
      <c r="N13" s="85" t="s">
        <v>798</v>
      </c>
    </row>
    <row r="14" spans="1:14" ht="96" customHeight="1">
      <c r="A14" s="11">
        <v>13</v>
      </c>
      <c r="B14" s="12" t="s">
        <v>308</v>
      </c>
      <c r="C14" s="22" t="s">
        <v>309</v>
      </c>
      <c r="D14" s="105" t="s">
        <v>13</v>
      </c>
      <c r="E14" s="93" t="s">
        <v>310</v>
      </c>
      <c r="F14" s="93" t="s">
        <v>311</v>
      </c>
      <c r="G14" s="14">
        <v>0.75</v>
      </c>
      <c r="H14" s="12" t="s">
        <v>312</v>
      </c>
      <c r="I14" s="12" t="s">
        <v>822</v>
      </c>
      <c r="J14" s="12" t="s">
        <v>313</v>
      </c>
      <c r="K14" s="12" t="s">
        <v>314</v>
      </c>
      <c r="L14" s="12" t="s">
        <v>315</v>
      </c>
      <c r="M14" s="12" t="s">
        <v>316</v>
      </c>
      <c r="N14" s="12" t="s">
        <v>36</v>
      </c>
    </row>
    <row r="15" spans="1:14" ht="96" customHeight="1">
      <c r="A15" s="11">
        <v>14</v>
      </c>
      <c r="B15" s="12" t="s">
        <v>317</v>
      </c>
      <c r="C15" s="22" t="s">
        <v>318</v>
      </c>
      <c r="D15" s="105" t="s">
        <v>13</v>
      </c>
      <c r="E15" s="93" t="s">
        <v>14</v>
      </c>
      <c r="F15" s="93" t="s">
        <v>14</v>
      </c>
      <c r="G15" s="14">
        <v>0.7</v>
      </c>
      <c r="H15" s="12" t="s">
        <v>319</v>
      </c>
      <c r="I15" s="12" t="s">
        <v>513</v>
      </c>
      <c r="J15" s="12" t="s">
        <v>514</v>
      </c>
      <c r="K15" s="12" t="s">
        <v>320</v>
      </c>
      <c r="L15" s="12" t="s">
        <v>515</v>
      </c>
      <c r="M15" s="12" t="s">
        <v>321</v>
      </c>
      <c r="N15" s="12" t="s">
        <v>516</v>
      </c>
    </row>
    <row r="16" spans="1:14" ht="160" customHeight="1">
      <c r="A16" s="46">
        <v>15</v>
      </c>
      <c r="B16" s="56" t="s">
        <v>322</v>
      </c>
      <c r="C16" s="86" t="s">
        <v>702</v>
      </c>
      <c r="D16" s="106" t="s">
        <v>13</v>
      </c>
      <c r="E16" s="94">
        <v>46283</v>
      </c>
      <c r="F16" s="94" t="s">
        <v>703</v>
      </c>
      <c r="G16" s="48">
        <v>0.65</v>
      </c>
      <c r="H16" s="56" t="s">
        <v>704</v>
      </c>
      <c r="I16" s="56" t="s">
        <v>705</v>
      </c>
      <c r="J16" s="56" t="s">
        <v>706</v>
      </c>
      <c r="K16" s="56" t="s">
        <v>707</v>
      </c>
      <c r="L16" s="56" t="s">
        <v>708</v>
      </c>
      <c r="M16" s="56" t="s">
        <v>709</v>
      </c>
      <c r="N16" s="56" t="s">
        <v>710</v>
      </c>
    </row>
    <row r="17" spans="1:14" ht="160" customHeight="1">
      <c r="A17" s="56">
        <v>16</v>
      </c>
      <c r="B17" s="56" t="s">
        <v>517</v>
      </c>
      <c r="C17" s="86" t="s">
        <v>711</v>
      </c>
      <c r="D17" s="106" t="s">
        <v>13</v>
      </c>
      <c r="E17" s="95">
        <v>46286</v>
      </c>
      <c r="F17" s="95" t="s">
        <v>712</v>
      </c>
      <c r="G17" s="48">
        <v>0.75</v>
      </c>
      <c r="H17" s="56" t="s">
        <v>713</v>
      </c>
      <c r="I17" s="56" t="s">
        <v>714</v>
      </c>
      <c r="J17" s="56" t="s">
        <v>715</v>
      </c>
      <c r="K17" s="56" t="s">
        <v>518</v>
      </c>
      <c r="L17" s="56" t="s">
        <v>716</v>
      </c>
      <c r="M17" s="56" t="s">
        <v>717</v>
      </c>
      <c r="N17" s="56" t="s">
        <v>718</v>
      </c>
    </row>
  </sheetData>
  <conditionalFormatting sqref="B13">
    <cfRule type="containsText" dxfId="135" priority="1" operator="containsText" text="Completed"/>
    <cfRule type="containsText" dxfId="134" priority="2" operator="containsText" text="In Progress"/>
    <cfRule type="containsText" dxfId="133" priority="3" operator="containsText" text="At Risk"/>
    <cfRule type="containsText" dxfId="132" priority="4" operator="containsText" text="Not Started"/>
  </conditionalFormatting>
  <conditionalFormatting sqref="C2:C13">
    <cfRule type="containsText" dxfId="131" priority="6" operator="containsText" text="Completed"/>
    <cfRule type="containsText" dxfId="130" priority="7" operator="containsText" text="In Progress"/>
    <cfRule type="containsText" dxfId="129" priority="9" operator="containsText" text="Not Started"/>
  </conditionalFormatting>
  <conditionalFormatting sqref="C2:D13">
    <cfRule type="containsText" dxfId="128" priority="8" operator="containsText" text="At Risk"/>
  </conditionalFormatting>
  <conditionalFormatting sqref="D2:D13">
    <cfRule type="containsText" dxfId="127" priority="14" operator="containsText" text="Amber"/>
    <cfRule type="containsText" dxfId="126" priority="15" operator="containsText" text="Green"/>
  </conditionalFormatting>
  <conditionalFormatting sqref="F2:F12">
    <cfRule type="dataBar" priority="5">
      <dataBar>
        <cfvo type="min"/>
        <cfvo type="max"/>
        <color rgb="FF5B9BD5"/>
      </dataBar>
    </cfRule>
    <cfRule type="dataBar" priority="10">
      <dataBar>
        <cfvo type="min"/>
        <cfvo type="max"/>
        <color rgb="FF5B9BD5"/>
      </dataBar>
    </cfRule>
    <cfRule type="dataBar" priority="11">
      <dataBar>
        <cfvo type="min"/>
        <cfvo type="max"/>
        <color rgb="FF5B9BD5"/>
      </dataBar>
    </cfRule>
    <cfRule type="dataBar" priority="12">
      <dataBar>
        <cfvo type="min"/>
        <cfvo type="max"/>
        <color rgb="FF5B9BD5"/>
      </dataBar>
    </cfRule>
    <cfRule type="dataBar" priority="13">
      <dataBar>
        <cfvo type="min"/>
        <cfvo type="max"/>
        <color rgb="FF5B9BD5"/>
      </dataBar>
    </cfRule>
    <cfRule type="dataBar" priority="16">
      <dataBar>
        <cfvo type="min"/>
        <cfvo type="max"/>
        <color rgb="FF5B9BD5"/>
      </dataBar>
    </cfRule>
    <cfRule type="dataBar" priority="17">
      <dataBar>
        <cfvo type="min"/>
        <cfvo type="max"/>
        <color rgb="FF5B9BD5"/>
      </dataBar>
    </cfRule>
    <cfRule type="dataBar" priority="18">
      <dataBar>
        <cfvo type="min"/>
        <cfvo type="max"/>
        <color rgb="FF5B9BD5"/>
      </dataBar>
    </cfRule>
    <cfRule type="dataBar" priority="19">
      <dataBar>
        <cfvo type="min"/>
        <cfvo type="max"/>
        <color rgb="FF5B9BD5"/>
      </dataBar>
    </cfRule>
    <cfRule type="dataBar" priority="20">
      <dataBar>
        <cfvo type="min"/>
        <cfvo type="max"/>
        <color rgb="FF5B9BD5"/>
      </dataBar>
    </cfRule>
    <cfRule type="dataBar" priority="21">
      <dataBar>
        <cfvo type="min"/>
        <cfvo type="max"/>
        <color rgb="FF5B9BD5"/>
      </dataBar>
    </cfRule>
    <cfRule type="dataBar" priority="22">
      <dataBar>
        <cfvo type="min"/>
        <cfvo type="max"/>
        <color rgb="FF5B9BD5"/>
      </dataBar>
    </cfRule>
    <cfRule type="dataBar" priority="23">
      <dataBar>
        <cfvo type="min"/>
        <cfvo type="max"/>
        <color rgb="FF5B9BD5"/>
      </dataBar>
    </cfRule>
    <cfRule type="dataBar" priority="24">
      <dataBar>
        <cfvo type="min"/>
        <cfvo type="max"/>
        <color rgb="FF5B9BD5"/>
      </dataBar>
    </cfRule>
    <cfRule type="dataBar" priority="25">
      <dataBar>
        <cfvo type="min"/>
        <cfvo type="max"/>
        <color rgb="FF5B9BD5"/>
      </dataBar>
    </cfRule>
    <cfRule type="dataBar" priority="26">
      <dataBar>
        <cfvo type="min"/>
        <cfvo type="max"/>
        <color rgb="FF5B9BD5"/>
      </dataBar>
      <extLst>
        <ext xmlns:x14="http://schemas.microsoft.com/office/spreadsheetml/2009/9/main" uri="{B025F937-C7B1-47D3-B67F-A62EFF666E3E}">
          <x14:id>{05CDE29C-C43F-4911-9EFB-594DA12B0C61}</x14:id>
        </ext>
      </extLst>
    </cfRule>
  </conditionalFormatting>
  <dataValidations count="3">
    <dataValidation type="list" sqref="C2:C12" xr:uid="{F871B759-BCFF-44DA-A619-77AFCA13F825}">
      <formula1>"Not Started,Pending,In Progress,Ongoing,At Risk,On Hold,Completed,Roadmap,Readiness,Evaluation"</formula1>
    </dataValidation>
    <dataValidation type="decimal" sqref="F2:F12" xr:uid="{FED8113A-6DA4-4FE2-8F20-F1968C330AF1}">
      <formula1>0</formula1>
      <formula2>1</formula2>
    </dataValidation>
    <dataValidation type="list" sqref="D2:D13" xr:uid="{703EE55C-6EA5-4FE9-BD5C-2F4FFA566F4B}">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5CDE29C-C43F-4911-9EFB-594DA12B0C61}">
            <x14:dataBar>
              <x14:cfvo type="min"/>
              <x14:cfvo type="max"/>
              <x14:negativeFillColor auto="1"/>
              <x14:axisColor auto="1"/>
            </x14:dataBar>
          </x14:cfRule>
          <xm:sqref>F2:F12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showGridLines="0" workbookViewId="0">
      <pane ySplit="1" topLeftCell="A2" activePane="bottomLeft" state="frozen"/>
      <selection pane="bottomLeft" activeCell="B2" sqref="B2"/>
    </sheetView>
  </sheetViews>
  <sheetFormatPr defaultRowHeight="14"/>
  <cols>
    <col min="1" max="1" width="5" customWidth="1"/>
    <col min="2" max="2" width="33" customWidth="1"/>
    <col min="3" max="3" width="22" customWidth="1"/>
    <col min="4" max="4" width="13" customWidth="1"/>
    <col min="5" max="5" width="14" customWidth="1"/>
    <col min="6" max="6" width="13" customWidth="1"/>
    <col min="7" max="9" width="39" customWidth="1"/>
    <col min="10" max="10" width="29" customWidth="1"/>
    <col min="11" max="12" width="36" customWidth="1"/>
    <col min="13" max="13" width="30" customWidth="1"/>
    <col min="14" max="14" width="24" customWidth="1"/>
  </cols>
  <sheetData>
    <row r="1" spans="1:14" ht="28">
      <c r="A1" s="5" t="s">
        <v>0</v>
      </c>
      <c r="B1" s="5" t="s">
        <v>1</v>
      </c>
      <c r="C1" s="5" t="s">
        <v>2</v>
      </c>
      <c r="D1" s="123" t="s">
        <v>3</v>
      </c>
      <c r="E1" s="5" t="s">
        <v>4</v>
      </c>
      <c r="F1" s="5" t="s">
        <v>789</v>
      </c>
      <c r="G1" s="5" t="s">
        <v>5</v>
      </c>
      <c r="H1" s="5" t="s">
        <v>6</v>
      </c>
      <c r="I1" s="5" t="s">
        <v>7</v>
      </c>
      <c r="J1" s="5" t="s">
        <v>8</v>
      </c>
      <c r="K1" s="5" t="s">
        <v>9</v>
      </c>
      <c r="L1" s="5" t="s">
        <v>10</v>
      </c>
      <c r="M1" s="5" t="s">
        <v>11</v>
      </c>
      <c r="N1" s="5" t="s">
        <v>12</v>
      </c>
    </row>
    <row r="2" spans="1:14" ht="78" customHeight="1">
      <c r="A2" s="18">
        <v>1</v>
      </c>
      <c r="B2" s="5" t="s">
        <v>323</v>
      </c>
      <c r="C2" s="96" t="s">
        <v>1068</v>
      </c>
      <c r="D2" s="124" t="s">
        <v>22</v>
      </c>
      <c r="E2" s="19">
        <v>46240</v>
      </c>
      <c r="F2" s="19" t="s">
        <v>14</v>
      </c>
      <c r="G2" s="20">
        <v>1</v>
      </c>
      <c r="H2" s="5" t="s">
        <v>324</v>
      </c>
      <c r="I2" s="5" t="s">
        <v>1069</v>
      </c>
      <c r="J2" s="5" t="s">
        <v>1070</v>
      </c>
      <c r="K2" s="5" t="s">
        <v>325</v>
      </c>
      <c r="L2" s="5" t="s">
        <v>1071</v>
      </c>
      <c r="M2" s="5" t="s">
        <v>1072</v>
      </c>
      <c r="N2" s="5" t="s">
        <v>1073</v>
      </c>
    </row>
    <row r="3" spans="1:14" ht="78" customHeight="1">
      <c r="A3" s="18">
        <v>2</v>
      </c>
      <c r="B3" s="5" t="s">
        <v>326</v>
      </c>
      <c r="C3" s="96" t="s">
        <v>1074</v>
      </c>
      <c r="D3" s="124" t="s">
        <v>22</v>
      </c>
      <c r="E3" s="19">
        <v>46240</v>
      </c>
      <c r="F3" s="19" t="s">
        <v>14</v>
      </c>
      <c r="G3" s="20">
        <v>1</v>
      </c>
      <c r="H3" s="5" t="s">
        <v>327</v>
      </c>
      <c r="I3" s="5" t="s">
        <v>1075</v>
      </c>
      <c r="J3" s="5" t="s">
        <v>1076</v>
      </c>
      <c r="K3" s="5" t="s">
        <v>328</v>
      </c>
      <c r="L3" s="5" t="s">
        <v>1077</v>
      </c>
      <c r="M3" s="5" t="s">
        <v>1078</v>
      </c>
      <c r="N3" s="5" t="s">
        <v>1079</v>
      </c>
    </row>
    <row r="4" spans="1:14" ht="78" customHeight="1">
      <c r="A4" s="18">
        <v>3</v>
      </c>
      <c r="B4" s="5" t="s">
        <v>329</v>
      </c>
      <c r="C4" s="96" t="s">
        <v>76</v>
      </c>
      <c r="D4" s="124" t="s">
        <v>22</v>
      </c>
      <c r="E4" s="19">
        <v>46240</v>
      </c>
      <c r="F4" s="19" t="s">
        <v>14</v>
      </c>
      <c r="G4" s="20">
        <v>1</v>
      </c>
      <c r="H4" s="5" t="s">
        <v>330</v>
      </c>
      <c r="I4" s="5" t="s">
        <v>331</v>
      </c>
      <c r="J4" s="5" t="s">
        <v>332</v>
      </c>
      <c r="K4" s="5" t="s">
        <v>333</v>
      </c>
      <c r="L4" s="5" t="s">
        <v>334</v>
      </c>
      <c r="M4" s="5" t="s">
        <v>335</v>
      </c>
      <c r="N4" s="5" t="s">
        <v>336</v>
      </c>
    </row>
    <row r="5" spans="1:14" ht="78" customHeight="1">
      <c r="A5" s="18">
        <v>4</v>
      </c>
      <c r="B5" s="5" t="s">
        <v>337</v>
      </c>
      <c r="C5" s="125" t="s">
        <v>1080</v>
      </c>
      <c r="D5" s="124" t="s">
        <v>22</v>
      </c>
      <c r="E5" s="19" t="s">
        <v>519</v>
      </c>
      <c r="F5" s="19" t="s">
        <v>520</v>
      </c>
      <c r="G5" s="20">
        <v>0.9</v>
      </c>
      <c r="H5" s="5" t="s">
        <v>521</v>
      </c>
      <c r="I5" s="5" t="s">
        <v>1081</v>
      </c>
      <c r="J5" s="5" t="s">
        <v>1082</v>
      </c>
      <c r="K5" s="5" t="s">
        <v>1083</v>
      </c>
      <c r="L5" s="5" t="s">
        <v>1084</v>
      </c>
      <c r="M5" s="5" t="s">
        <v>1085</v>
      </c>
      <c r="N5" s="5" t="s">
        <v>1086</v>
      </c>
    </row>
    <row r="6" spans="1:14" ht="96" customHeight="1">
      <c r="A6" s="11">
        <v>5</v>
      </c>
      <c r="B6" s="12" t="s">
        <v>338</v>
      </c>
      <c r="C6" s="12" t="s">
        <v>1087</v>
      </c>
      <c r="D6" s="124" t="s">
        <v>22</v>
      </c>
      <c r="E6" s="13" t="s">
        <v>339</v>
      </c>
      <c r="F6" s="13" t="s">
        <v>1088</v>
      </c>
      <c r="G6" s="14">
        <v>0.98347107438016534</v>
      </c>
      <c r="H6" s="12" t="s">
        <v>1089</v>
      </c>
      <c r="I6" s="12" t="s">
        <v>1090</v>
      </c>
      <c r="J6" s="12" t="s">
        <v>1091</v>
      </c>
      <c r="K6" s="12" t="s">
        <v>1092</v>
      </c>
      <c r="L6" s="12" t="s">
        <v>1093</v>
      </c>
      <c r="M6" s="12" t="s">
        <v>1094</v>
      </c>
      <c r="N6" s="12" t="s">
        <v>1095</v>
      </c>
    </row>
    <row r="7" spans="1:14" ht="78" customHeight="1">
      <c r="A7" s="18">
        <v>6</v>
      </c>
      <c r="B7" s="5" t="s">
        <v>340</v>
      </c>
      <c r="C7" s="96" t="s">
        <v>76</v>
      </c>
      <c r="D7" s="124" t="s">
        <v>22</v>
      </c>
      <c r="E7" s="19">
        <v>46240</v>
      </c>
      <c r="F7" s="19" t="s">
        <v>14</v>
      </c>
      <c r="G7" s="20">
        <v>1</v>
      </c>
      <c r="H7" s="5" t="s">
        <v>341</v>
      </c>
      <c r="I7" s="5" t="s">
        <v>342</v>
      </c>
      <c r="J7" s="5" t="s">
        <v>343</v>
      </c>
      <c r="K7" s="5" t="s">
        <v>344</v>
      </c>
      <c r="L7" s="5" t="s">
        <v>345</v>
      </c>
      <c r="M7" s="5" t="s">
        <v>346</v>
      </c>
      <c r="N7" s="5" t="s">
        <v>347</v>
      </c>
    </row>
    <row r="8" spans="1:14" ht="78" customHeight="1">
      <c r="A8" s="18">
        <v>7</v>
      </c>
      <c r="B8" s="5" t="s">
        <v>348</v>
      </c>
      <c r="C8" s="96" t="s">
        <v>76</v>
      </c>
      <c r="D8" s="124" t="s">
        <v>22</v>
      </c>
      <c r="E8" s="19">
        <v>46240</v>
      </c>
      <c r="F8" s="19" t="s">
        <v>14</v>
      </c>
      <c r="G8" s="20">
        <v>1</v>
      </c>
      <c r="H8" s="5" t="s">
        <v>349</v>
      </c>
      <c r="I8" s="5" t="s">
        <v>350</v>
      </c>
      <c r="J8" s="5" t="s">
        <v>351</v>
      </c>
      <c r="K8" s="5" t="s">
        <v>352</v>
      </c>
      <c r="L8" s="5" t="s">
        <v>353</v>
      </c>
      <c r="M8" s="5" t="s">
        <v>354</v>
      </c>
      <c r="N8" s="5" t="s">
        <v>355</v>
      </c>
    </row>
    <row r="9" spans="1:14" ht="78" customHeight="1">
      <c r="A9" s="18">
        <v>8</v>
      </c>
      <c r="B9" s="5" t="s">
        <v>356</v>
      </c>
      <c r="C9" s="96" t="s">
        <v>357</v>
      </c>
      <c r="D9" s="124" t="s">
        <v>22</v>
      </c>
      <c r="E9" s="19">
        <v>46265</v>
      </c>
      <c r="F9" s="19" t="s">
        <v>14</v>
      </c>
      <c r="G9" s="20">
        <v>0.9</v>
      </c>
      <c r="H9" s="5" t="s">
        <v>358</v>
      </c>
      <c r="I9" s="5" t="s">
        <v>359</v>
      </c>
      <c r="J9" s="5" t="s">
        <v>360</v>
      </c>
      <c r="K9" s="5" t="s">
        <v>361</v>
      </c>
      <c r="L9" s="5" t="s">
        <v>362</v>
      </c>
      <c r="M9" s="5" t="s">
        <v>363</v>
      </c>
      <c r="N9" s="5" t="s">
        <v>364</v>
      </c>
    </row>
    <row r="10" spans="1:14" ht="78" customHeight="1">
      <c r="A10" s="18">
        <v>9</v>
      </c>
      <c r="B10" s="5" t="s">
        <v>365</v>
      </c>
      <c r="C10" s="96" t="s">
        <v>366</v>
      </c>
      <c r="D10" s="124" t="s">
        <v>22</v>
      </c>
      <c r="E10" s="19">
        <v>46240</v>
      </c>
      <c r="F10" s="19">
        <v>46265</v>
      </c>
      <c r="G10" s="20">
        <v>1</v>
      </c>
      <c r="H10" s="5" t="s">
        <v>367</v>
      </c>
      <c r="I10" s="5" t="s">
        <v>368</v>
      </c>
      <c r="J10" s="5" t="s">
        <v>369</v>
      </c>
      <c r="K10" s="5" t="s">
        <v>370</v>
      </c>
      <c r="L10" s="5" t="s">
        <v>371</v>
      </c>
      <c r="M10" s="5" t="s">
        <v>372</v>
      </c>
      <c r="N10" s="5" t="s">
        <v>373</v>
      </c>
    </row>
    <row r="11" spans="1:14" ht="78" customHeight="1">
      <c r="A11" s="18">
        <v>10</v>
      </c>
      <c r="B11" s="5" t="s">
        <v>374</v>
      </c>
      <c r="C11" s="96" t="s">
        <v>1096</v>
      </c>
      <c r="D11" s="124" t="s">
        <v>22</v>
      </c>
      <c r="E11" s="19" t="s">
        <v>519</v>
      </c>
      <c r="F11" s="19" t="s">
        <v>522</v>
      </c>
      <c r="G11" s="20">
        <v>0.9</v>
      </c>
      <c r="H11" s="5" t="s">
        <v>523</v>
      </c>
      <c r="I11" s="5" t="s">
        <v>1097</v>
      </c>
      <c r="J11" s="5" t="s">
        <v>1098</v>
      </c>
      <c r="K11" s="5" t="s">
        <v>1099</v>
      </c>
      <c r="L11" s="5" t="s">
        <v>1100</v>
      </c>
      <c r="M11" s="5" t="s">
        <v>1101</v>
      </c>
      <c r="N11" s="5" t="s">
        <v>1102</v>
      </c>
    </row>
    <row r="12" spans="1:14" ht="78" customHeight="1">
      <c r="A12" s="18">
        <v>11</v>
      </c>
      <c r="B12" s="5" t="s">
        <v>375</v>
      </c>
      <c r="C12" s="96" t="s">
        <v>524</v>
      </c>
      <c r="D12" s="124" t="s">
        <v>22</v>
      </c>
      <c r="E12" s="19" t="s">
        <v>519</v>
      </c>
      <c r="F12" s="19" t="s">
        <v>525</v>
      </c>
      <c r="G12" s="20">
        <v>0.8</v>
      </c>
      <c r="H12" s="5" t="s">
        <v>526</v>
      </c>
      <c r="I12" s="5" t="s">
        <v>527</v>
      </c>
      <c r="J12" s="5" t="s">
        <v>528</v>
      </c>
      <c r="K12" s="5" t="s">
        <v>529</v>
      </c>
      <c r="L12" s="5" t="s">
        <v>530</v>
      </c>
      <c r="M12" s="5" t="s">
        <v>531</v>
      </c>
      <c r="N12" s="5" t="s">
        <v>532</v>
      </c>
    </row>
    <row r="13" spans="1:14" ht="78" customHeight="1">
      <c r="A13" s="18">
        <v>12</v>
      </c>
      <c r="B13" s="5" t="s">
        <v>376</v>
      </c>
      <c r="C13" s="97" t="s">
        <v>377</v>
      </c>
      <c r="D13" s="105" t="s">
        <v>13</v>
      </c>
      <c r="E13" s="19">
        <v>46240</v>
      </c>
      <c r="F13" s="19" t="s">
        <v>14</v>
      </c>
      <c r="G13" s="20">
        <v>0.8</v>
      </c>
      <c r="H13" s="5" t="s">
        <v>378</v>
      </c>
      <c r="I13" s="5" t="s">
        <v>379</v>
      </c>
      <c r="J13" s="5" t="s">
        <v>380</v>
      </c>
      <c r="K13" s="5" t="s">
        <v>381</v>
      </c>
      <c r="L13" s="5" t="s">
        <v>382</v>
      </c>
      <c r="M13" s="5" t="s">
        <v>383</v>
      </c>
      <c r="N13" s="5" t="s">
        <v>384</v>
      </c>
    </row>
    <row r="14" spans="1:14" ht="96" customHeight="1">
      <c r="A14" s="11">
        <v>13</v>
      </c>
      <c r="B14" s="12" t="s">
        <v>533</v>
      </c>
      <c r="C14" s="96" t="s">
        <v>1103</v>
      </c>
      <c r="D14" s="124" t="s">
        <v>22</v>
      </c>
      <c r="E14" s="13" t="s">
        <v>164</v>
      </c>
      <c r="F14" s="13" t="s">
        <v>1104</v>
      </c>
      <c r="G14" s="14">
        <v>0.98347107438016534</v>
      </c>
      <c r="H14" s="12" t="s">
        <v>534</v>
      </c>
      <c r="I14" s="12" t="s">
        <v>1105</v>
      </c>
      <c r="J14" s="12" t="s">
        <v>1106</v>
      </c>
      <c r="K14" s="12" t="s">
        <v>1107</v>
      </c>
      <c r="L14" s="12" t="s">
        <v>1108</v>
      </c>
      <c r="M14" s="12" t="s">
        <v>1109</v>
      </c>
      <c r="N14" s="12" t="s">
        <v>1110</v>
      </c>
    </row>
    <row r="15" spans="1:14" ht="112.5">
      <c r="A15" s="11">
        <v>14</v>
      </c>
      <c r="B15" s="12" t="s">
        <v>1111</v>
      </c>
      <c r="C15" s="22" t="s">
        <v>1112</v>
      </c>
      <c r="D15" s="126" t="s">
        <v>13</v>
      </c>
      <c r="E15" s="13">
        <v>46296</v>
      </c>
      <c r="F15" s="13" t="s">
        <v>1113</v>
      </c>
      <c r="G15" s="14">
        <v>0.7</v>
      </c>
      <c r="H15" s="12" t="s">
        <v>1114</v>
      </c>
      <c r="I15" s="12" t="s">
        <v>1115</v>
      </c>
      <c r="J15" s="12" t="s">
        <v>1116</v>
      </c>
      <c r="K15" s="12" t="s">
        <v>1117</v>
      </c>
      <c r="L15" s="12" t="s">
        <v>1118</v>
      </c>
      <c r="M15" s="12" t="s">
        <v>1119</v>
      </c>
      <c r="N15" s="12" t="s">
        <v>1120</v>
      </c>
    </row>
  </sheetData>
  <conditionalFormatting sqref="D2:D12">
    <cfRule type="containsText" dxfId="15" priority="6" operator="containsText" text="Red"/>
    <cfRule type="containsText" dxfId="14" priority="7" operator="containsText" text="Amber"/>
    <cfRule type="containsText" dxfId="13" priority="8" operator="containsText" text="Green"/>
  </conditionalFormatting>
  <conditionalFormatting sqref="D14">
    <cfRule type="containsText" dxfId="12" priority="1" operator="containsText" text="Red"/>
    <cfRule type="containsText" dxfId="11" priority="2" operator="containsText" text="Amber"/>
    <cfRule type="containsText" dxfId="10" priority="3" operator="containsText" text="Green"/>
  </conditionalFormatting>
  <conditionalFormatting sqref="F2:F13">
    <cfRule type="dataBar" priority="4">
      <dataBar>
        <cfvo type="min"/>
        <cfvo type="max"/>
        <color rgb="FF5B9BD5"/>
      </dataBar>
    </cfRule>
    <cfRule type="dataBar" priority="5">
      <dataBar>
        <cfvo type="min"/>
        <cfvo type="max"/>
        <color rgb="FF5B9BD5"/>
      </dataBar>
    </cfRule>
    <cfRule type="dataBar" priority="9">
      <dataBar>
        <cfvo type="min"/>
        <cfvo type="max"/>
        <color rgb="FF5B9BD5"/>
      </dataBar>
    </cfRule>
    <cfRule type="dataBar" priority="10">
      <dataBar>
        <cfvo type="min"/>
        <cfvo type="max"/>
        <color rgb="FF5B9BD5"/>
      </dataBar>
    </cfRule>
    <cfRule type="dataBar" priority="11">
      <dataBar>
        <cfvo type="min"/>
        <cfvo type="max"/>
        <color rgb="FF5B9BD5"/>
      </dataBar>
    </cfRule>
    <cfRule type="dataBar" priority="12">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cfRule>
    <cfRule type="dataBar" priority="16">
      <dataBar>
        <cfvo type="min"/>
        <cfvo type="max"/>
        <color rgb="FF5B9BD5"/>
      </dataBar>
    </cfRule>
    <cfRule type="dataBar" priority="17">
      <dataBar>
        <cfvo type="min"/>
        <cfvo type="max"/>
        <color rgb="FF5B9BD5"/>
      </dataBar>
    </cfRule>
    <cfRule type="dataBar" priority="18">
      <dataBar>
        <cfvo type="min"/>
        <cfvo type="max"/>
        <color rgb="FF5B9BD5"/>
      </dataBar>
    </cfRule>
    <cfRule type="dataBar" priority="19">
      <dataBar>
        <cfvo type="min"/>
        <cfvo type="max"/>
        <color rgb="FF5B9BD5"/>
      </dataBar>
      <extLst>
        <ext xmlns:x14="http://schemas.microsoft.com/office/spreadsheetml/2009/9/main" uri="{B025F937-C7B1-47D3-B67F-A62EFF666E3E}">
          <x14:id>{0C43CCA0-AD9B-4C83-8046-BCE9418CBE65}</x14:id>
        </ext>
      </extLst>
    </cfRule>
  </conditionalFormatting>
  <dataValidations count="1">
    <dataValidation type="list" sqref="D2:D12 D14" xr:uid="{806E3FE7-B9C3-4B16-BB68-398BB595C0CC}">
      <formula1>"Red,Amber,Green"</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C43CCA0-AD9B-4C83-8046-BCE9418CBE65}">
            <x14:dataBar>
              <x14:cfvo type="min"/>
              <x14:cfvo type="max"/>
              <x14:negativeFillColor auto="1"/>
              <x14:axisColor auto="1"/>
            </x14:dataBar>
          </x14:cfRule>
          <xm:sqref>F2:F13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0"/>
  <sheetViews>
    <sheetView workbookViewId="0">
      <selection activeCell="B2" sqref="B2"/>
    </sheetView>
  </sheetViews>
  <sheetFormatPr defaultRowHeight="14"/>
  <cols>
    <col min="1" max="1" width="1.90625" customWidth="1"/>
    <col min="2" max="2" width="12.1796875" customWidth="1"/>
    <col min="3" max="3" width="18.6328125" customWidth="1"/>
    <col min="4" max="4" width="6.7265625" customWidth="1"/>
    <col min="5" max="5" width="10.81640625" customWidth="1"/>
    <col min="6" max="6" width="8.90625" customWidth="1"/>
    <col min="7" max="7" width="11.81640625" customWidth="1"/>
    <col min="8" max="8" width="17" customWidth="1"/>
    <col min="9" max="9" width="56.81640625" customWidth="1"/>
    <col min="10" max="10" width="51.7265625" customWidth="1"/>
    <col min="11" max="11" width="24.08984375" customWidth="1"/>
    <col min="12" max="12" width="43.54296875" customWidth="1"/>
    <col min="13" max="13" width="25.1796875" customWidth="1"/>
    <col min="14" max="14" width="27.1796875" customWidth="1"/>
  </cols>
  <sheetData>
    <row r="1" spans="1:14" ht="29">
      <c r="A1" s="107" t="s">
        <v>0</v>
      </c>
      <c r="B1" s="108" t="s">
        <v>1</v>
      </c>
      <c r="C1" s="108" t="s">
        <v>2</v>
      </c>
      <c r="D1" s="108" t="s">
        <v>3</v>
      </c>
      <c r="E1" s="108" t="s">
        <v>4</v>
      </c>
      <c r="F1" s="108" t="s">
        <v>789</v>
      </c>
      <c r="G1" s="108" t="s">
        <v>5</v>
      </c>
      <c r="H1" s="108" t="s">
        <v>6</v>
      </c>
      <c r="I1" s="108" t="s">
        <v>7</v>
      </c>
      <c r="J1" s="108" t="s">
        <v>8</v>
      </c>
      <c r="K1" s="108" t="s">
        <v>9</v>
      </c>
      <c r="L1" s="108" t="s">
        <v>10</v>
      </c>
      <c r="M1" s="108" t="s">
        <v>11</v>
      </c>
      <c r="N1" s="5" t="s">
        <v>12</v>
      </c>
    </row>
    <row r="2" spans="1:14" ht="224">
      <c r="A2" s="2">
        <v>1</v>
      </c>
      <c r="B2" s="5" t="s">
        <v>385</v>
      </c>
      <c r="C2" s="109" t="s">
        <v>823</v>
      </c>
      <c r="D2" s="110" t="s">
        <v>13</v>
      </c>
      <c r="E2" s="111">
        <v>46267</v>
      </c>
      <c r="F2" s="112" t="s">
        <v>719</v>
      </c>
      <c r="G2" s="20">
        <v>0.7</v>
      </c>
      <c r="H2" s="5" t="s">
        <v>824</v>
      </c>
      <c r="I2" s="5" t="s">
        <v>825</v>
      </c>
      <c r="J2" s="5" t="s">
        <v>826</v>
      </c>
      <c r="K2" s="5" t="s">
        <v>827</v>
      </c>
      <c r="L2" s="5" t="s">
        <v>828</v>
      </c>
      <c r="M2" s="5" t="s">
        <v>829</v>
      </c>
      <c r="N2" s="5" t="s">
        <v>830</v>
      </c>
    </row>
    <row r="3" spans="1:14" ht="154">
      <c r="A3" s="2">
        <v>2</v>
      </c>
      <c r="B3" s="5" t="s">
        <v>720</v>
      </c>
      <c r="C3" s="113" t="s">
        <v>721</v>
      </c>
      <c r="D3" s="114" t="s">
        <v>13</v>
      </c>
      <c r="E3" s="111">
        <v>46303</v>
      </c>
      <c r="F3" s="112" t="s">
        <v>722</v>
      </c>
      <c r="G3" s="20">
        <v>0.7</v>
      </c>
      <c r="H3" s="5" t="s">
        <v>723</v>
      </c>
      <c r="I3" s="5" t="s">
        <v>724</v>
      </c>
      <c r="J3" s="5" t="s">
        <v>725</v>
      </c>
      <c r="K3" s="5" t="s">
        <v>726</v>
      </c>
      <c r="L3" s="5" t="s">
        <v>727</v>
      </c>
      <c r="M3" s="5" t="s">
        <v>728</v>
      </c>
      <c r="N3" s="5" t="s">
        <v>729</v>
      </c>
    </row>
    <row r="4" spans="1:14" ht="182">
      <c r="A4" s="2">
        <v>3</v>
      </c>
      <c r="B4" s="5" t="s">
        <v>730</v>
      </c>
      <c r="C4" s="113" t="s">
        <v>731</v>
      </c>
      <c r="D4" s="114" t="s">
        <v>13</v>
      </c>
      <c r="E4" s="111">
        <v>46303</v>
      </c>
      <c r="F4" s="112" t="s">
        <v>386</v>
      </c>
      <c r="G4" s="20">
        <v>0.5</v>
      </c>
      <c r="H4" s="5" t="s">
        <v>732</v>
      </c>
      <c r="I4" s="5" t="s">
        <v>733</v>
      </c>
      <c r="J4" s="5" t="s">
        <v>734</v>
      </c>
      <c r="K4" s="5" t="s">
        <v>735</v>
      </c>
      <c r="L4" s="5" t="s">
        <v>736</v>
      </c>
      <c r="M4" s="5" t="s">
        <v>737</v>
      </c>
      <c r="N4" s="5" t="s">
        <v>738</v>
      </c>
    </row>
    <row r="5" spans="1:14" ht="168">
      <c r="A5" s="2">
        <v>4</v>
      </c>
      <c r="B5" s="5" t="s">
        <v>739</v>
      </c>
      <c r="C5" s="113" t="s">
        <v>740</v>
      </c>
      <c r="D5" s="114" t="s">
        <v>13</v>
      </c>
      <c r="E5" s="111">
        <v>46303</v>
      </c>
      <c r="F5" s="112" t="s">
        <v>741</v>
      </c>
      <c r="G5" s="20">
        <v>0.3</v>
      </c>
      <c r="H5" s="5" t="s">
        <v>742</v>
      </c>
      <c r="I5" s="5" t="s">
        <v>743</v>
      </c>
      <c r="J5" s="5" t="s">
        <v>744</v>
      </c>
      <c r="K5" s="5" t="s">
        <v>745</v>
      </c>
      <c r="L5" s="5" t="s">
        <v>746</v>
      </c>
      <c r="M5" s="5" t="s">
        <v>747</v>
      </c>
      <c r="N5" s="5" t="s">
        <v>748</v>
      </c>
    </row>
    <row r="6" spans="1:14" ht="154">
      <c r="A6" s="2">
        <v>5</v>
      </c>
      <c r="B6" s="5" t="s">
        <v>749</v>
      </c>
      <c r="C6" s="113" t="s">
        <v>750</v>
      </c>
      <c r="D6" s="114" t="s">
        <v>13</v>
      </c>
      <c r="E6" s="111">
        <v>46303</v>
      </c>
      <c r="F6" s="112" t="s">
        <v>751</v>
      </c>
      <c r="G6" s="20">
        <v>0.35</v>
      </c>
      <c r="H6" s="5" t="s">
        <v>752</v>
      </c>
      <c r="I6" s="5" t="s">
        <v>753</v>
      </c>
      <c r="J6" s="5" t="s">
        <v>754</v>
      </c>
      <c r="K6" s="5" t="s">
        <v>755</v>
      </c>
      <c r="L6" s="5" t="s">
        <v>756</v>
      </c>
      <c r="M6" s="5" t="s">
        <v>757</v>
      </c>
      <c r="N6" s="5" t="s">
        <v>758</v>
      </c>
    </row>
    <row r="7" spans="1:14" ht="154">
      <c r="A7" s="2">
        <v>6</v>
      </c>
      <c r="B7" s="5" t="s">
        <v>759</v>
      </c>
      <c r="C7" s="113" t="s">
        <v>760</v>
      </c>
      <c r="D7" s="114" t="s">
        <v>13</v>
      </c>
      <c r="E7" s="111">
        <v>46303</v>
      </c>
      <c r="F7" s="112" t="s">
        <v>761</v>
      </c>
      <c r="G7" s="20">
        <v>0.55000000000000004</v>
      </c>
      <c r="H7" s="5" t="s">
        <v>762</v>
      </c>
      <c r="I7" s="5" t="s">
        <v>763</v>
      </c>
      <c r="J7" s="5" t="s">
        <v>764</v>
      </c>
      <c r="K7" s="5" t="s">
        <v>765</v>
      </c>
      <c r="L7" s="5" t="s">
        <v>766</v>
      </c>
      <c r="M7" s="5" t="s">
        <v>767</v>
      </c>
      <c r="N7" s="5" t="s">
        <v>768</v>
      </c>
    </row>
    <row r="8" spans="1:14" ht="182">
      <c r="A8" s="2">
        <v>7</v>
      </c>
      <c r="B8" s="5" t="s">
        <v>769</v>
      </c>
      <c r="C8" s="113" t="s">
        <v>770</v>
      </c>
      <c r="D8" s="114" t="s">
        <v>13</v>
      </c>
      <c r="E8" s="111">
        <v>46303</v>
      </c>
      <c r="F8" s="112" t="s">
        <v>771</v>
      </c>
      <c r="G8" s="20">
        <v>0.45</v>
      </c>
      <c r="H8" s="5" t="s">
        <v>772</v>
      </c>
      <c r="I8" s="5" t="s">
        <v>773</v>
      </c>
      <c r="J8" s="5" t="s">
        <v>774</v>
      </c>
      <c r="K8" s="5" t="s">
        <v>775</v>
      </c>
      <c r="L8" s="5" t="s">
        <v>776</v>
      </c>
      <c r="M8" s="5" t="s">
        <v>777</v>
      </c>
      <c r="N8" s="5" t="s">
        <v>778</v>
      </c>
    </row>
    <row r="9" spans="1:14" ht="182">
      <c r="A9" s="2">
        <v>8</v>
      </c>
      <c r="B9" s="5" t="s">
        <v>779</v>
      </c>
      <c r="C9" s="113" t="s">
        <v>780</v>
      </c>
      <c r="D9" s="114" t="s">
        <v>13</v>
      </c>
      <c r="E9" s="111">
        <v>46303</v>
      </c>
      <c r="F9" s="112" t="s">
        <v>781</v>
      </c>
      <c r="G9" s="20">
        <v>0.3</v>
      </c>
      <c r="H9" s="5" t="s">
        <v>782</v>
      </c>
      <c r="I9" s="5" t="s">
        <v>783</v>
      </c>
      <c r="J9" s="5" t="s">
        <v>784</v>
      </c>
      <c r="K9" s="5" t="s">
        <v>785</v>
      </c>
      <c r="L9" s="5" t="s">
        <v>786</v>
      </c>
      <c r="M9" s="5" t="s">
        <v>787</v>
      </c>
      <c r="N9" s="5" t="s">
        <v>788</v>
      </c>
    </row>
    <row r="10" spans="1:14" ht="224">
      <c r="A10" s="2">
        <v>9</v>
      </c>
      <c r="B10" s="5" t="s">
        <v>831</v>
      </c>
      <c r="C10" s="109" t="s">
        <v>832</v>
      </c>
      <c r="D10" s="110" t="s">
        <v>13</v>
      </c>
      <c r="E10" s="111">
        <v>46304</v>
      </c>
      <c r="F10" s="112" t="s">
        <v>833</v>
      </c>
      <c r="G10" s="20">
        <v>0.7</v>
      </c>
      <c r="H10" s="5" t="s">
        <v>834</v>
      </c>
      <c r="I10" s="5" t="s">
        <v>835</v>
      </c>
      <c r="J10" s="5" t="s">
        <v>836</v>
      </c>
      <c r="K10" s="5" t="s">
        <v>837</v>
      </c>
      <c r="L10" s="5" t="s">
        <v>838</v>
      </c>
      <c r="M10" s="5" t="s">
        <v>839</v>
      </c>
      <c r="N10" s="5" t="s">
        <v>840</v>
      </c>
    </row>
  </sheetData>
  <conditionalFormatting sqref="C2:D2">
    <cfRule type="containsText" dxfId="112" priority="1" operator="containsText" text="Red"/>
    <cfRule type="containsText" dxfId="111" priority="2" operator="containsText" text="Amber"/>
    <cfRule type="containsText" dxfId="110" priority="3" operator="containsText" text="Green"/>
  </conditionalFormatting>
  <dataValidations count="1">
    <dataValidation type="list" sqref="D2" xr:uid="{379C36CE-02B9-4F22-B417-50BF8F1E4106}">
      <formula1>"Red,Amber,Green"</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Security</vt:lpstr>
      <vt:lpstr>Infrastructure &amp; Cloud</vt:lpstr>
      <vt:lpstr>IoT</vt:lpstr>
      <vt:lpstr>R&amp;D AI</vt:lpstr>
      <vt:lpstr>WCS Engineering</vt:lpstr>
      <vt:lpstr>Compliance Program</vt:lpstr>
      <vt:lpstr>UNIS.CO Email &amp; Ticketing</vt:lpstr>
      <vt:lpstr>UNIS ITEM- eHub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Moreno</dc:creator>
  <cp:lastModifiedBy>Robert Moreno</cp:lastModifiedBy>
  <dcterms:created xsi:type="dcterms:W3CDTF">2026-09-21T11:42:14Z</dcterms:created>
  <dcterms:modified xsi:type="dcterms:W3CDTF">2026-10-19T03:19:16Z</dcterms:modified>
</cp:coreProperties>
</file>