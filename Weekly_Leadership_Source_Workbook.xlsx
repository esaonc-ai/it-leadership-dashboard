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6D47904F-8AD0-4F39-A4E4-0A7AE93CBB2C}" xr6:coauthVersionLast="47" xr6:coauthVersionMax="47" xr10:uidLastSave="{00000000-0000-0000-0000-000000000000}"/>
  <bookViews>
    <workbookView xWindow="-110" yWindow="-110" windowWidth="19420" windowHeight="11500" activeTab="7" xr2:uid="{00000000-000D-0000-FFFF-FFFF00000000}"/>
  </bookViews>
  <sheets>
    <sheet name="IT Security" sheetId="2" r:id="rId1"/>
    <sheet name="Infrastructure &amp; Cloud" sheetId="3" r:id="rId2"/>
    <sheet name="IoT" sheetId="4" r:id="rId3"/>
    <sheet name="R&amp;D AI" sheetId="5" r:id="rId4"/>
    <sheet name="WCS Engineering" sheetId="6" r:id="rId5"/>
    <sheet name="IT 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<sst xmlns="http://schemas.openxmlformats.org/spreadsheetml/2006/main" count="1774" uniqueCount="1276">
  <si>
    <t>#</t>
  </si>
  <si>
    <t>Project / Workstream</t>
  </si>
  <si>
    <t>Status</t>
  </si>
  <si>
    <t>RAG Status</t>
  </si>
  <si>
    <t>Start Date</t>
  </si>
  <si>
    <t>% of Completion</t>
  </si>
  <si>
    <t>Core Objective</t>
  </si>
  <si>
    <t>Current Progress</t>
  </si>
  <si>
    <t>Key Next Steps</t>
  </si>
  <si>
    <t>Owners / Direct Responsible Individual</t>
  </si>
  <si>
    <t>Key Risks / Blockers</t>
  </si>
  <si>
    <t>Management Attention</t>
  </si>
  <si>
    <t>Source / Notes</t>
  </si>
  <si>
    <t>Amber</t>
  </si>
  <si>
    <t>TBD</t>
  </si>
  <si>
    <t>User-provided project table</t>
  </si>
  <si>
    <t>Web Security</t>
  </si>
  <si>
    <t>In Progress</t>
  </si>
  <si>
    <t>DNS Security</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</si>
  <si>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</si>
  <si>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</si>
  <si>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</si>
  <si>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</si>
  <si>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</si>
  <si>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</si>
  <si>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</si>
  <si>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</si>
  <si>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</si>
  <si>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</si>
  <si>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</si>
  <si>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</si>
  <si>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</si>
  <si>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</si>
  <si>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</si>
  <si>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</si>
  <si>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</si>
  <si>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</si>
  <si>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</si>
  <si>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</si>
  <si>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</si>
  <si>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</si>
  <si>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</si>
  <si>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</si>
  <si>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</si>
  <si>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</si>
  <si>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</si>
  <si>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</si>
  <si>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</si>
  <si>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</si>
  <si>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</si>
  <si>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</si>
  <si>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</si>
  <si>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</si>
  <si>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</si>
  <si>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</si>
  <si>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</si>
  <si>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</si>
  <si>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</si>
  <si>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</si>
  <si>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</si>
  <si>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</si>
  <si>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</si>
  <si>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</si>
  <si>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</si>
  <si>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</si>
  <si>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</si>
  <si>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</si>
  <si>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Completed</t>
  </si>
  <si>
    <t>2026-09-23</t>
  </si>
  <si>
    <t>2026-09-21</t>
  </si>
  <si>
    <t>BP AI Camera IoT Phase 1</t>
  </si>
  <si>
    <t>Monitoring Engine V2, iOS and Backend API are allcompleted.
End users are using the IoT platform.</t>
  </si>
  <si>
    <t>iOS → Security UAT → Go/No-Go.</t>
  </si>
  <si>
    <t>Yabin Liu</t>
  </si>
  <si>
    <t>UAT and critical defects.</t>
  </si>
  <si>
    <t>P1 – 8/20 launch.</t>
  </si>
  <si>
    <t>Walnut AI Camera IoT Phase 2</t>
  </si>
  <si>
    <t>Camera scope and AI use cases are all configured, ready to .User Usage</t>
  </si>
  <si>
    <t>Camera selection → algorithm mapping → GPU sizing.</t>
  </si>
  <si>
    <t>P2.User Usage and Feedback</t>
  </si>
  <si>
    <t>Walnut Local GPU Infrastructure</t>
  </si>
  <si>
    <t>Completed
note:Nearly one month of continuous monitoring shows GPU, memory and bandwidth metrics are fairly stable. The server also has 7×24 performance monitoring and alerting, so it is capable of running our existing system application architecture.</t>
  </si>
  <si>
    <t>Finalize GPU specifications and procurement after camera matrix completion.</t>
  </si>
  <si>
    <t>GPU capacity, power, procurement ownership.</t>
  </si>
  <si>
    <t>Local GPU recommended.</t>
  </si>
  <si>
    <t>User Manual Development (Monitoring Engine &amp; IoT Platform)</t>
  </si>
  <si>
    <t>Finished all ths steps of the Monitoring Engine and the IoT Platform operation manual.</t>
  </si>
  <si>
    <t>Completed the full operation manual for the Monitoring Engine.</t>
  </si>
  <si>
    <t>Jiaming</t>
  </si>
  <si>
    <t>Target delivery: Sep 11</t>
  </si>
  <si>
    <t>The source file is attached to the email.</t>
  </si>
  <si>
    <t>IoT Platform Development Phase 2 – Yard Management Project</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</si>
  <si>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</si>
  <si>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</si>
  <si>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</si>
  <si>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</si>
  <si>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</si>
  <si>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</si>
  <si>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</si>
  <si>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</si>
  <si>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</si>
  <si>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</si>
  <si>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</si>
  <si>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</si>
  <si>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</si>
  <si>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</si>
  <si>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</si>
  <si>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</si>
  <si>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</si>
  <si>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</si>
  <si>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</si>
  <si>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</si>
  <si>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</si>
  <si>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</si>
  <si>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</si>
  <si>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</si>
  <si>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</si>
  <si>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</si>
  <si>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</si>
  <si>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</si>
  <si>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</si>
  <si>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</si>
  <si>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</si>
  <si>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</si>
  <si>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</si>
  <si>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</si>
  <si>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</si>
  <si>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</si>
  <si>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</si>
  <si>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</si>
  <si>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</si>
  <si>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</si>
  <si>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</si>
  <si>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</si>
  <si>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</si>
  <si>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BP Conveyor Maintenance</t>
  </si>
  <si>
    <t>Source note not provided.</t>
  </si>
  <si>
    <t>VMS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</si>
  <si>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</si>
  <si>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</si>
  <si>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</si>
  <si>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</si>
  <si>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</si>
  <si>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</si>
  <si>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</si>
  <si>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PCI DSS / SAQ-D</t>
  </si>
  <si>
    <t>Complete PCI DSS compliance.</t>
  </si>
  <si>
    <t>atsec confirmed SAQ-D Merchant applicability.</t>
  </si>
  <si>
    <t>Complete SAQ-D questionnaire, AOC, and technical scope confirmation.</t>
  </si>
  <si>
    <t>Large card-data scope.</t>
  </si>
  <si>
    <t>P1 Compliance.</t>
  </si>
  <si>
    <t>SOC 2 Control &amp; Evidence Readiness</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</si>
  <si>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</si>
  <si>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</si>
  <si>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</si>
  <si>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</si>
  <si>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</si>
  <si>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</si>
  <si>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</si>
  <si>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</si>
  <si>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</si>
  <si>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</si>
  <si>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</si>
  <si>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</si>
  <si>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</si>
  <si>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</si>
  <si>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</si>
  <si>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</si>
  <si>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</si>
  <si>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</si>
  <si>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</si>
  <si>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</si>
  <si>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</si>
  <si>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</si>
  <si>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</si>
  <si>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</si>
  <si>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</si>
  <si>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</si>
  <si>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</si>
  <si>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</si>
  <si>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</si>
  <si>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</si>
  <si>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</si>
  <si>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</si>
  <si>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</si>
  <si>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</si>
  <si>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</si>
  <si>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</si>
  <si>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</si>
  <si>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</si>
  <si>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</si>
  <si>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</si>
  <si>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</si>
  <si>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</si>
  <si>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</si>
  <si>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</si>
  <si>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</si>
  <si>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</si>
  <si>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</si>
  <si>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</si>
  <si>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Escalate for a firm delivery date and confirm whether fieldwork can proceed in parallel.</t>
  </si>
  <si>
    <t>Vanta Legal-Entity and Subscription Transition</t>
  </si>
  <si>
    <t>UNIS.CO Internal-Only Email Restriction</t>
  </si>
  <si>
    <t>External Domain Allowlist Controls</t>
  </si>
  <si>
    <t>Permit legitimate external business traffic while maintaining the UNIS.CO restriction policy.</t>
  </si>
  <si>
    <t>Email Team / Operations / Yangyang Yang</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</si>
  <si>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</si>
  <si>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</si>
  <si>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</si>
  <si>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</si>
  <si>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</si>
  <si>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</si>
  <si>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</si>
  <si>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</si>
  <si>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</si>
  <si>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</si>
  <si>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</si>
  <si>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</si>
  <si>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</si>
  <si>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</si>
  <si>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</si>
  <si>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</si>
  <si>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</si>
  <si>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</si>
  <si>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</si>
  <si>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</si>
  <si>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</si>
  <si>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</si>
  <si>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</si>
  <si>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</si>
  <si>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</si>
  <si>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</si>
  <si>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</si>
  <si>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</si>
  <si>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</si>
  <si>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</si>
  <si>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</si>
  <si>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</si>
  <si>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</si>
  <si>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</si>
  <si>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</si>
  <si>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</si>
  <si>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</si>
  <si>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</si>
  <si>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</si>
  <si>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</si>
  <si>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</si>
  <si>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</si>
  <si>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</si>
  <si>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</si>
  <si>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</si>
  <si>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</si>
  <si>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</si>
  <si>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</si>
  <si>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</si>
  <si>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</si>
  <si>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</si>
  <si>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</si>
  <si>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</si>
  <si>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</si>
  <si>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Red</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</si>
  <si>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</si>
  <si>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</si>
  <si>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</si>
  <si>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</si>
  <si>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SOC 2 Entity, Invoice and Payment Reconciliation</t>
  </si>
  <si>
    <t>2026-08-31</t>
  </si>
  <si>
    <t>TBD - after operational acceptance</t>
  </si>
  <si>
    <t>Secure formal business acceptance for Phase 1 and govern the internal-mail restriction request as a separate follow-on change.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</si>
  <si>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</si>
  <si>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</si>
  <si>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</si>
  <si>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</si>
  <si>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</si>
  <si>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</si>
  <si>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</si>
  <si>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</si>
  <si>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</si>
  <si>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</si>
  <si>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Ensure Outlook and mobile clients use the new UNIS.CO sender while preserving approved UNISCO.COM aliases and uninterrupted access to dependent services.</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</si>
  <si>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</si>
  <si>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</si>
  <si>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</si>
  <si>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</si>
  <si>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</si>
  <si>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</si>
  <si>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</si>
  <si>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</si>
  <si>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</si>
  <si>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BP Air Compressor and Dryer Assessment</t>
  </si>
  <si>
    <t>2026-09-25</t>
  </si>
  <si>
    <t>N/A</t>
  </si>
  <si>
    <t>PCI DSS Compliance &amp; Payment Data Environment</t>
  </si>
  <si>
    <t>Vanta framework corrected / compliance at 59%</t>
  </si>
  <si>
    <t>TBD - after scope, evidence, and control closure</t>
  </si>
  <si>
    <t>Complete PCI DSS compliance with an accurate Vanta framework, validated payment-data scope, and evidence that required technical and operational controls are implemented.</t>
  </si>
  <si>
    <t>Mike confirmed PCI DSS compliance at 59%. The PCI DSS framework settings in Vanta were recently corrected, and there has been limited additional progress since that correction. Card data remains within the payment-gateway front and back ends, and WAF protection has been implemented for PCI-related applications.</t>
  </si>
  <si>
    <t>Validate the corrected Vanta framework and requirement mapping; reconfirm PAN, CVV, token, storage, transmission, encryption, logging, access, vulnerability, and service-provider scope; close remaining evidence and control gaps; complete the applicable SAQ-D and AOC; and establish a realistic completion plan.</t>
  </si>
  <si>
    <t>The corrected framework may expose new or previously misclassified requirements. Incomplete payment-data mapping, evidence gaps, or unresolved technical controls could delay PCI completion.</t>
  </si>
  <si>
    <t>Maintain Amber status and review the post-correction gap list, accountable owners, and target dates. Treat 59% as the current Vanta readiness position, not certification.</t>
  </si>
  <si>
    <t>PCI WAF implemented / broader SaaS evaluation pending</t>
  </si>
  <si>
    <t>TBD - after cost and impact assessment</t>
  </si>
  <si>
    <t>Maintain compliant WAF protection for PCI applications and determine whether extending WAF coverage to other web-based SaaS applications is justified and operationally safe.</t>
  </si>
  <si>
    <t>WAF has been implemented for PCI DSS-related applications and is considered capable of meeting the applicable PCI DSS requirements. The next potential phase is coverage for other web-based SaaS applications, but expansion has not been approved and requires evaluation of cost and operational impact.</t>
  </si>
  <si>
    <t>Document the PCI WAF architecture, protected applications, rules, logging, alerting, ownership, change control, testing, and evidence. Inventory other web-based SaaS applications; rank them by exposure and business criticality; compare expected risk reduction, licensing and support cost, latency, compatibility, and implementation effort; then submit a phased recommendation.</t>
  </si>
  <si>
    <t>Existing PCI coverage requires ongoing tuning and evidence. Broad expansion without application testing may cause outages, blocked transactions, latency, or unjustified cost; delaying high-risk SaaS coverage may leave preventable exposure.</t>
  </si>
  <si>
    <t>Accept the PCI implementation as the completed current milestone, but require a risk-based business case before funding or deploying broader SaaS coverage.</t>
  </si>
  <si>
    <t>On hold / not a current priority</t>
  </si>
  <si>
    <t>TBD - management reprioritization required</t>
  </si>
  <si>
    <t>Provide centrally governed DNS-layer protection across prioritized branches when the risk, funding, and operational priority justify implementation.</t>
  </si>
  <si>
    <t>Mike confirmed that DNS Security is on hold and is not a current priority. China continues using the OneDNS free tier, overseas locations use Cloudflare free security DNS, and Infoblox and Palo Alto DNS-security options were previously tested. No new rollout or procurement activity is approved.</t>
  </si>
  <si>
    <t>Maintain the current DNS protections and document ownership and limitations. Keep vendor test results and quotations current. Define reactivation triggers such as threat trends, compliance requirements, free-tier limitations, branch incidents, or available budget, and reassess priority during the next security roadmap review.</t>
  </si>
  <si>
    <t>Free-tier services may provide limited visibility, policy control, support, retention, or coverage consistency. A prolonged hold could leave branches with uneven DNS protection, while premature rollout could create cost and operational disruption.</t>
  </si>
  <si>
    <t>No immediate investment decision is required. Retain Amber status, document the accepted residual risk, and set a formal review point rather than leaving the workstream indefinitely open.</t>
  </si>
  <si>
    <t>Pilot Testing / In Progress</t>
  </si>
  <si>
    <t>IOT-RELATED PROJECTS &amp; TASKS</t>
  </si>
  <si>
    <t>Team Lead: Yabin Liu | Reporting Date: 2026-08-23 PST | Source: IT_Project_Roadmap_Consolidated_2026_v1.0 (23Aug2026 PST)</t>
  </si>
  <si>
    <t>Owner / Responsible</t>
  </si>
  <si>
    <r>
      <rPr>
        <sz val="9"/>
        <color rgb="FF1F1F1F"/>
        <rFont val="Carlito"/>
        <charset val="134"/>
      </rPr>
      <t>The BP</t>
    </r>
    <r>
      <rPr>
        <sz val="9"/>
        <color rgb="FF1F1F1F"/>
        <rFont val="Times New Roman"/>
        <family val="1"/>
      </rPr>
      <t>‑</t>
    </r>
    <r>
      <rPr>
        <sz val="9"/>
        <color rgb="FF1F1F1F"/>
        <rFont val="Carlito"/>
        <charset val="134"/>
      </rPr>
      <t>hosted GPU can cover the workloads for both the BP site and Walnut site.</t>
    </r>
  </si>
  <si>
    <r>
      <rPr>
        <sz val="9"/>
        <color rgb="FF1F1F1F"/>
        <rFont val="Carlito"/>
        <charset val="134"/>
      </rPr>
      <t>Current Main Tasks for the IoT Platform</t>
    </r>
    <r>
      <rPr>
        <sz val="9"/>
        <color rgb="FF1F1F1F"/>
        <rFont val="Times New Roman"/>
        <family val="1"/>
      </rPr>
      <t>‑</t>
    </r>
    <r>
      <rPr>
        <sz val="9"/>
        <color rgb="FF1F1F1F"/>
        <rFont val="Carlito"/>
        <charset val="134"/>
      </rPr>
      <t xml:space="preserve"> P2 Development</t>
    </r>
  </si>
  <si>
    <t>Observation active / preparation prerequisites and entity update pending</t>
  </si>
  <si>
    <t>Complete the ITEM SOC 2 Type II renewal, preserve the Jan 21, 2026–Jan 20, 2027 observation period, and ensure the engagement, Vanta audit, billing, System Description, and final report use the approved reporting entity.</t>
  </si>
  <si>
    <t>Johanson confirmed that preparation may run in parallel, but formal testing would generally begin after the observation period. Before audit-team assignment, ITEM must provide an updated System Description in Word, create the Type II audit in Vanta and grant Johanson access, complete the Audit Scoping Form, and close the initial invoice/payment requirement. ITEM LLC to Item.com, Inc. also requires supporting legal documents and a signed Change Order.</t>
  </si>
  <si>
    <t>Create the ITEM Type II audit in Vanta; grant Johanson access; submit the updated Word System Description and separate scoping form; reconcile the existing $7,500 payment against Johanson’s initial-payment prerequisite; provide legal transition documents; execute the Change Order; and confirm that engagement records and the final reporting entity are consistent before assignment.</t>
  </si>
  <si>
    <t>Missing Vanta access, scoping, payment reconciliation, or legal documentation can delay assignment. Mixed ITEM LLC and Item.com, Inc. operations may affect the reporting-entity conclusion if contracts, employees, customers, or services remain split.</t>
  </si>
  <si>
    <t>Keep preparation active, but do not represent November as formal testing. Require written confirmation of payment allocation, legal-entity treatment, and assignment prerequisites.</t>
  </si>
  <si>
    <t>Adam Gentner SOC 2 strategy follow-up, updated 12-Oct-2026 PST; ITEM observation period and prior $7,500 payment record.</t>
  </si>
  <si>
    <t>TBD - before scoping form submission</t>
  </si>
  <si>
    <t>TBD - aligned with approved TSC scope</t>
  </si>
  <si>
    <t>Vanta preparation active at ~48% / audit timing not approved</t>
  </si>
  <si>
    <t>TBD - after pricing, readiness, and separate engagement approval</t>
  </si>
  <si>
    <t>Continue GDPR evidence preparation in Vanta while separately confirming pricing, entity treatment, audit scope, readiness criteria, and assessment timing.</t>
  </si>
  <si>
    <t>Johanson confirmed that GDPR evidence preparation may continue in parallel. The Vanta instance is available and was reported at approximately 48% complete. Vanta’s prorated framework pricing and the audit engagement requirements remain separate open items. No formal November audit start has been approved.</t>
  </si>
  <si>
    <t>Continue evidence collection and mapping; obtain Vanta’s written prorated pricing and contracting terms; confirm whether work prepared under ITEM LLC carries to Item.com, Inc.; define scope and readiness criteria with Johanson; then obtain management approval for the assessment schedule.</t>
  </si>
  <si>
    <t>Stacy Nguyen / Robert Moreno / Vanta / Adam Gentner / Legal / Privacy and Control Owners</t>
  </si>
  <si>
    <t>Preparation may be misread as audit authorization. Entity changes, unapproved pricing, incomplete evidence, or unclear engagement terms could create rework or cost exposure.</t>
  </si>
  <si>
    <t>Allow evidence work to continue, but keep audit timing and purchasing subject to explicit pricing, entity, readiness, and engagement approval.</t>
  </si>
  <si>
    <t>Adam Gentner SOC 2 strategy follow-up, updated 12-Oct-2026 PST.</t>
  </si>
  <si>
    <t>Legal documentation and Change Order pending / current entities retained</t>
  </si>
  <si>
    <t>TBD - after legal review and signed Change Order</t>
  </si>
  <si>
    <t>Preserve audit continuity while formally documenting and approving any transition from ITEM LLC to Item.com, Inc. and, separately, UNIS LLC to Unisco.com Inc.</t>
  </si>
  <si>
    <t>Johanson does not require a special template. Acceptable evidence includes formation documents, a business license, or another official record showing the new legal name. A true entity change also requires documentation showing the relationship between entities. After receipt, Johanson can prepare the Change Order and update the engagement, System Description, and internal records. Reuse of audit work depends on materially unchanged systems, controls, personnel, infrastructure, services, and operations.</t>
  </si>
  <si>
    <t>Legal to provide official transition documentation and identify whether each change is a rename or a separate-entity transition. Map contracts, employees, customers, services, systems, and control ownership. Submit the package to Johanson, obtain the audit-team assessment, execute the Change Order, and update all records consistently.</t>
  </si>
  <si>
    <t>Insufficient legal continuity evidence or mixed-entity operations could prevent a simple name update, misstate the reporting entity, or require broader scope and engagement changes.</t>
  </si>
  <si>
    <t>Retain UNIS LLC and ITEM LLC as the active audit entities until legal review and signed Change Orders authorize a change.</t>
  </si>
  <si>
    <t>Adam Gentner entity-transition guidance, Sep 30–Oct 2026 follow-up thread.</t>
  </si>
  <si>
    <t>SOC 2 Type I Renewal for UNIS LLC</t>
  </si>
  <si>
    <t>SOC 2 Type II Renewal for ITEM LLC</t>
  </si>
  <si>
    <t>UNIS LLC SOC 2 TSC &amp; System Scope Alignment</t>
  </si>
  <si>
    <t>Current Cybersecurity and Network Security Owner (TBD) / Robert Moreno / Stacy Nguyen / Control Owners / Adam Gentner / Johanson Audit Team / Vanta Administrator</t>
  </si>
  <si>
    <t>UNIS LLC SOC 2 Type I Readiness, Payment and Auditor Assignment</t>
  </si>
  <si>
    <t>The vendor collected UNIS and ITEM equipment on Thursday (10/8); certificates are expected three to four weeks after pickup.</t>
  </si>
  <si>
    <t>The PH team has joined the sample screening and annotation process, resulting in improved visual model accuracy. Additional samples continue to be collected and annotated. The user manual has been published, while the training video is still pending. One exterior camera installation also remains pending.</t>
  </si>
  <si>
    <t>Continue expanding the sample dataset and improving model accuracy. Follow up on the training video and installer ETA, complete the remaining exterior camera installation, and continue the Speaker TTS and warning-light integration.</t>
  </si>
  <si>
    <t>Remaining installation, training-video delivery, and model optimization may require additional coordination.</t>
  </si>
  <si>
    <t>Continue monitoring sample development, model accuracy, training-video delivery, and installation readiness.</t>
  </si>
  <si>
    <t>The PH team is supporting sample screening and annotation. The user manual is available, but the training video has not yet been received.</t>
  </si>
  <si>
    <t>Procurement requirements have been confirmed, and the installation team has started installing the equipment at the designated locations.</t>
  </si>
  <si>
    <t>Complete the remaining equipment installation according to the SOP, verify the hardware configuration, and proceed with system testing and activation.</t>
  </si>
  <si>
    <t>Installation and system activation may require additional coordination and adjustment.</t>
  </si>
  <si>
    <t>Continue monitoring installation progress and testing readiness.</t>
  </si>
  <si>
    <t>On-site equipment installation is in progress.</t>
  </si>
  <si>
    <t>Updated the navigation workflow to reduce instances where the AGV is unable to return to the charging station. Testing and optimization continue in active aisles. The team is also evaluating the performance of a new LiDAR solution.</t>
  </si>
  <si>
    <t>Continue validating the updated return-to-charge workflow, optimize navigation and localization performance, evaluate the new LiDAR, and gradually expand operation to additional aisles.</t>
  </si>
  <si>
    <t>Navigation reliability and new LiDAR performance may require further validation.</t>
  </si>
  <si>
    <t>Continue monitoring return-to-charge reliability, field-test results, and LiDAR evaluation progress.</t>
  </si>
  <si>
    <t>The updated workflow is designed to improve return-to-charge reliability. New LiDAR research and testing are in progress.</t>
  </si>
  <si>
    <t>Dock Vision Forklift In/Out (Single-Camera Demo) – Ontario</t>
  </si>
  <si>
    <t>Develop a single-camera demonstration to count forklift pallet movements in and out of the dock and verify whether truck rain-curtain securing straps are properly positioned during loading.</t>
  </si>
  <si>
    <t>Completed the site survey and generated initial detection results using the existing camera. The current demonstration provides preliminary forklift movement, pallet-counting, and securing-strap status results.</t>
  </si>
  <si>
    <t>Continue collecting and annotating samples, refine the visual model, and improve detection and counting accuracy under the single-camera setup.</t>
  </si>
  <si>
    <t>Single-camera coverage and available sample diversity may require additional model adjustment.</t>
  </si>
  <si>
    <t>Continue monitoring sample collection, model accuracy, and demonstration readiness.</t>
  </si>
  <si>
    <t>Initial results have been generated using the existing Ontario dock camera.</t>
  </si>
  <si>
    <t>AGV Inventory Count – Joliet</t>
  </si>
  <si>
    <t>Prepare and deploy four AGVs to support automated inventory counting at the Joliet facility.</t>
  </si>
  <si>
    <t>Delivered the procurement list and assembly SOP to the Implementation team and IT Helpdesk. Completed Phase I assembly for four AGVs. The remaining parts and equipment are pending arrival. Software migration to the four edge devices is also in progress.</t>
  </si>
  <si>
    <t>Complete Phase II assembly after the remaining parts arrive and finish the software migration to all four edge devices. Hand over the systems to the Implementation team for mapping training. After training, ship the AGVs to Joliet for the site survey, charging-station placement, and map creation. Review the completed map before beginning trial operations.</t>
  </si>
  <si>
    <t>Parts delivery, assembly, mapping, and on-site preparation may require additional coordination.</t>
  </si>
  <si>
    <t>Continue monitoring procurement, Phase II assembly, software migration, and Joliet site readiness.</t>
  </si>
  <si>
    <t>Phase I assembly of four AGVs has been completed. Trial operations will begin after the site map is completed and reviewed.</t>
  </si>
  <si>
    <t>Correct-roller proposal awaiting signature / RMA, final cost, parts order, and execution schedule pending</t>
  </si>
  <si>
    <t>TBD - 5–6-week parts lead time after signed approval and order, then a three-day overnight execution window</t>
  </si>
  <si>
    <t>Install the correct 32NBS rollers and required sorter components, return incorrect parts, restore reliable divert performance, and control total cost and operational downtime.</t>
  </si>
  <si>
    <t>The revised proposal reflects the correct components, including the full credit for incorrectly ordered parts and no additional installation labor for the revised work. Anuj sent the correct-roller proposal to Steve for signature; the signed proposal is required before ordering and maintenance can proceed. Lafayette still must provide the RMA, return part numbers, and quantities. Original-project and final TGW freight remain unresolved, taxes are estimated, and a complete cost ceiling is not yet confirmed. A three-day overnight work plan is proposed for final alignment.</t>
  </si>
  <si>
    <t>Secure the signed proposal and issue the order. Lafayette to provide the RMA, itemized return list, part numbers, quantities, freight breakdown, tax basis, exclusions, order confirmation, and delivery dates. Confirm whether UNIS-managed freight reduces cost. Finalize the three-day after-hours schedule, downtime by activity, staffing, receiving, rollback, divert-routing tests, restart criteria, and next-shift readiness.</t>
  </si>
  <si>
    <t>Anuj Jagetia / Steve Kim / Robert Moreno / Stacy Nguyen / Henry Chacon / Lafayette Engineering / TGW / BP Operations / Finance and AP</t>
  </si>
  <si>
    <t>Unsigned approval delays the 5–6-week lead time. Missing RMA details may delay credits and returns. Unknown freight, estimated taxes, and exclusions prevent a reliable total. Peak-season timing and incomplete restart testing may extend disruption or leave divert issues unresolved.</t>
  </si>
  <si>
    <t>Treat signature, full cost confirmation, RMA, and delivery dates as approval gates. Keep Amber until parts are ordered and the outage, routing test, restart, and next-shift acceptance plan is approved. Escalate if the projected total exceeds the approved budget threshold.</t>
  </si>
  <si>
    <t>Request to Sign Proposal for Correct Rollers email, 14-Oct-2026 PST; Lafayette Conveyor Line – Divert Issue email thread through 15-Oct-2026 PST; BP Conveyor and Air Compressor scope/cost/schedule meeting invite.</t>
  </si>
  <si>
    <t>RCS demo testing complete / WCS development in progress</t>
  </si>
  <si>
    <t>WCS test target: 31-Oct-2026; U.S. arrival and deployment / commissioning remain planned for early Dec-2026</t>
  </si>
  <si>
    <t>Complete WCS development and testing, then deliver the Shelf-to-Person AGV solution for U.S. deployment and commissioning.</t>
  </si>
  <si>
    <t>Brant confirmed that Shelf-to-Person AGV Demo RCS testing is finished and WCS development is in progress. The latest explicit owner-reported completion is 65% from 12-Oct-2026; the subsequent update did not provide a revised numeric percentage. WCS testing is targeted for the end of October.</t>
  </si>
  <si>
    <t>Complete WCS development; execute and document WCS testing by 31-Oct-2026; resolve test defects; confirm shipment readiness, U.S. deployment location, site readiness, installation plan, and commissioning schedule; provide the next portfolio update by Thursday or Friday.</t>
  </si>
  <si>
    <t>Brant Ji / Neil Zhou / Abhijeet Rathi / Anuj Jagetia</t>
  </si>
  <si>
    <t>End-of-October WCS testing depends on development completion and defect resolution. The U.S. deployment location and site readiness remain subject to confirmation, and BP relocation may create avoidable relocation or recommissioning work.</t>
  </si>
  <si>
    <t>Maintain Amber until WCS testing passes and the U.S. deployment site is confirmed. Track the 31-Oct test milestone, identify support needs promptly, and reassess shipment and early-December commissioning if testing slips.</t>
  </si>
  <si>
    <t>Brant Ji WCS Engineering Project Update email thread, latest update 18-Oct-2026 PST; 65% explicitly reported 12-Oct-2026.</t>
  </si>
  <si>
    <t>Scope and commercial review scheduled / proposal, dryer decision, and final cost remain open</t>
  </si>
  <si>
    <t>TBD - after proposal review, diagnostic decision, approval, and coordinated maintenance window</t>
  </si>
  <si>
    <t>Establish the compressor and dryer condition, approve the correct maintenance or replacement scope, and complete the work with controlled cost and downtime.</t>
  </si>
  <si>
    <t>The air-compressor system proposal remains outstanding in the Lafayette thread. A dedicated review is planned to confirm the maintenance scope, included filters and materials, applicable taxes and exclusions, downtime, and whether dryer replacement is required. Dryer pricing is requested for budget planning if the need remains uncertain. The team intends to coordinate approved work with a three-day overnight window when practical.</t>
  </si>
  <si>
    <t>Obtain the latest itemized compressor and dryer proposal. Confirm equipment condition, diagnostic steps, preventive-maintenance scope, filters and materials, replacement-dryer need and price, warranties, taxes, exclusions, lead times, downtime, staffing, and next-shift readiness. Compare maintenance versus replacement, approve the selected option separately, and coordinate with conveyor work only if it reduces risk and disruption.</t>
  </si>
  <si>
    <t>Henry Chacon / Lafayette Engineering / Anuj Jagetia / Steve Kim / Robert Moreno / Stacy Nguyen / BP Operations / Facilities / Finance and AP</t>
  </si>
  <si>
    <t>The root cause, proposal, dryer requirement, complete cost, lead time, and downtime are not confirmed. Combining the scope with conveyor work before separate approval could hide accountability or delay both activities.</t>
  </si>
  <si>
    <t>Keep Amber. Require a fact-based diagnosis, itemized proposal, dryer option, full cost, and separate approval before execution. Approve combined scheduling only after both scopes and readiness criteria are complete.</t>
  </si>
  <si>
    <t>BP Conveyor and Air Compressor Maintenance scope, cost, and schedule review invite; Lafayette Conveyor Line – Divert Issue email thread through 15-Oct-2026 PST.</t>
  </si>
  <si>
    <t>Mike Wang's replacement pending / Robert Moreno / PCI Application Owners / Vanta Administrator / Infrastructure and Security Teams</t>
  </si>
  <si>
    <t>Mike Wang's replacement pending email response, Request to Update the IT Security Tab, 12-Oct-2026 PST.</t>
  </si>
  <si>
    <t>Mike Wang's replacement pending / Robert Moreno / Application Owners / Infrastructure and Security Teams / Finance and Procurement</t>
  </si>
  <si>
    <t>Mike Wang's replacement pending / Robert Moreno / Network and Security Teams / Branch IT Owners</t>
  </si>
  <si>
    <t>Mike Wang's replacement pending, Robert</t>
  </si>
  <si>
    <t>Mel Gutierrez / Robert Moreno / Mike Wang's replacement pending / Robotics Team</t>
  </si>
  <si>
    <t>Mike Wang's replacement pending, Robert,  Johanson Group, Vanta Team</t>
  </si>
  <si>
    <t>Robert Moreno / Stacy Nguyen / Adam Gentner / Johanson Audit and Accounting Teams / Mike Wang's replacement pending / Legal / Vanta Administrator</t>
  </si>
  <si>
    <t>Vincent / Robert Moreno / Mike Wang's replacement pending / Johanson Group</t>
  </si>
  <si>
    <t>James Tran / Robert Moreno / Stacy Nguyen / Adam Gentner / Johanson Audit Team / Mike Wang's replacement pending / Vanta Administrator</t>
  </si>
  <si>
    <t>Green / 8/20 Target</t>
  </si>
  <si>
    <t>Green / 8/28 Target</t>
  </si>
  <si>
    <t>Green / 9/1 Target</t>
  </si>
  <si>
    <t>Green / 9/11 Target</t>
  </si>
  <si>
    <t>Green / 10/1 Target</t>
  </si>
  <si>
    <r>
      <t xml:space="preserve">- Barrier integration </t>
    </r>
    <r>
      <rPr>
        <sz val="9"/>
        <color rgb="FF1F1F1F"/>
        <rFont val="Segoe UI Emoji"/>
        <family val="2"/>
      </rPr>
      <t>✅</t>
    </r>
    <r>
      <rPr>
        <sz val="9"/>
        <color rgb="FF1F1F1F"/>
        <rFont val="Carlito"/>
        <charset val="134"/>
      </rPr>
      <t xml:space="preserve"> Completed
- Quadruped robot: 45%
- YMS master data: 70%
- Vehicle guidance SMS feature:</t>
    </r>
    <r>
      <rPr>
        <sz val="9"/>
        <color rgb="FF1F1F1F"/>
        <rFont val="Segoe UI Symbol"/>
        <family val="2"/>
      </rPr>
      <t>✅</t>
    </r>
    <r>
      <rPr>
        <sz val="9"/>
        <color rgb="FF1F1F1F"/>
        <rFont val="Carlito"/>
        <charset val="134"/>
      </rPr>
      <t xml:space="preserve"> Completed
- Yard digital twin &amp; AI interaction: demo </t>
    </r>
    <r>
      <rPr>
        <b/>
        <sz val="9"/>
        <color rgb="FF00B050"/>
        <rFont val="Carlito"/>
        <charset val="134"/>
      </rPr>
      <t>70%</t>
    </r>
    <r>
      <rPr>
        <sz val="9"/>
        <color rgb="FF1F1F1F"/>
        <rFont val="Carlito"/>
        <charset val="134"/>
      </rPr>
      <t xml:space="preserve">
- Shuttle integration: Pending</t>
    </r>
  </si>
  <si>
    <t>Complete the above yard business application scenarios(H8).</t>
    <phoneticPr fontId="0" type="noConversion"/>
  </si>
  <si>
    <t>1. Three zones remain (OTD, VPL, VVPL) — we dont have enough staff on site to coordinate with operations for confirmation.
2. Continuous integration progress with Marco’s quadruped robot development team.
3. Shuttle integration is on hold for now. We'll finalize it after the Valley View warehouse move.</t>
    <phoneticPr fontId="0" type="noConversion"/>
  </si>
  <si>
    <t>Deployment schedule and cost allocation approved / travel submitted; shipment receipt, Wi-Fi readiness, onsite execution, testing, and acceptance pending</t>
  </si>
  <si>
    <t>2026-10-08</t>
  </si>
  <si>
    <t>Target: 04-Dec-2026 onsite closeout, subject to 30-Oct receipt, travel approval, four-week execution, testing, and acceptance</t>
  </si>
  <si>
    <t>Deploy and commission the Memphis barcode-camera AGV solution without disrupting Black Friday operations, while validating software, localization, mechanical changes, Wi-Fi capacity, operator readiness, and production acceptance.</t>
  </si>
  <si>
    <t>David provided an estimated Memphis delivery date of 30-Oct-2026. Jane approved the revised schedule and UF-Ops cost allocation for 4550 Quality Dr., confirmed operator support, and stated that the later deployment will not affect Black Friday volume. Abhijeet submitted an ExpressPro travel request for 09-Nov through 04-Dec. Wi-Fi bandwidth, coverage, roaming, and AGV requirements must be checked before deployment and monitored during testing. The planned four-week sequence covers software and localization, reflector/mapping decisions, mechanical and camera-barcode work, network validation, full-system testing, training, acceptance, and handover.</t>
  </si>
  <si>
    <t>Confirm truck pickup, tracking, 30-Oct delivery, receipt inspection, and missing/damaged-item resolution. Stacy to approve the ExpressPro travel request. Abhijeet to finalize dated milestones, installation/testing windows, 16–20 Nov support, Thanksgiving-week coverage, operator schedule, and contingency. Network team to baseline bandwidth, coverage, roaming, utilization, and AGV performance before and during tests. Inspect and audit all other WCS, robotic, and automation equipment at Memphis during the visit. Pause or adjust testing if warehouse operations are affected.</t>
  </si>
  <si>
    <t>Abhijeet Rathi / Jane Sanchez / Matthew Drummond / David Rodriguez / Neil Zhou / Brant Ji / Mahan Sasani / Jerimar Castaneda / Mo Belleza / Memphis Operations / Network Team / Stacy Nguyen / Anuj Jagetia / Robert Moreno</t>
  </si>
  <si>
    <t>Travel still requires final approval, and shipment receipt and inspection are not confirmed. Peak-season access, Thanksgiving-week availability, network congestion, Wi-Fi coverage or roaming, lithium-battery transport, site readiness, and unresolved test defects could delay acceptance or affect operations.</t>
  </si>
  <si>
    <t>Keep Amber until the AGV is received intact, travel is approved, Wi-Fi readiness passes, support windows are confirmed, and deployment gates begin. Protect Black Friday operations through agreed testing windows, live monitoring, stop criteria, contingency, operator training, and documented acceptance.</t>
  </si>
  <si>
    <t>RE [ReadMe] Memphis Robot Deployment: Black Friday Readiness follow-up email thread, updates through 23-Oct-2026 PST.</t>
  </si>
  <si>
    <t>WCS / Robotics / Automation Equipment Audit Program</t>
  </si>
  <si>
    <t>Management direction confirmed / issue-priority approach and onsite audit practice agreed; baseline inventory, tracker, pilot cadence, owners, and post-peak plan pending</t>
  </si>
  <si>
    <t>2026-10-22</t>
  </si>
  <si>
    <t>Ongoing - peak-season issue response and visit-based audits now; broader audit and preventive-maintenance schedule after peak season</t>
  </si>
  <si>
    <t>Create a risk-based equipment-management process that prioritizes known operational issues, captures onsite audit findings, assigns repair ownership, and establishes a sustainable inspection and preventive-maintenance cadence.</t>
  </si>
  <si>
    <t>Neil proposed recurring checks because some equipment problems were not reported promptly by Operations. Robert recommended a baseline assessment, a six-to-eight-week pilot using two-week checks, one shared tracker, assigned Ops contacts, efficient travel planning, and a post-pilot review. Stacy directed the team to prioritize equipment with known issues or daily operational impact during peak season and to audit all WCS, robotic, and automation equipment whenever engineers visit a facility, including Memphis. Neil agreed to this approach, with wider audits after known issues are resolved and after peak season.</t>
  </si>
  <si>
    <t>Abhijeet and Anuj: build the equipment baseline with site, condition, known issue, operational impact, support owner, maintenance need, and target date. Establish one shared tracker and site Ops contacts. During each visit, inspect all relevant equipment at that facility and convert findings into assigned actions. Pilot the two-week review for six to eight weeks, then adjust frequency based on reliability and maintenance evidence. After peak season, schedule remaining sites and preventive maintenance; review recurring faults, repairs, travel effort, and support costs.</t>
  </si>
  <si>
    <t>Abhijeet Rathi / Anuj Jagetia / Neil Zhou / Brant Ji / Robert Moreno / Stacy Nguyen / Site Operations Contacts (TBD) / WCS, Robotics and Automation Support Teams</t>
  </si>
  <si>
    <t>Late or incomplete Operations reporting can hide failures until they disrupt production. The equipment inventory, criticality ranking, site contacts, inspection checklist, travel plan, tracker, target dates, and preventive-maintenance capacity are not yet confirmed. Peak-season workloads may constrain audit resources.</t>
  </si>
  <si>
    <t>Prioritize known issues and daily-operational impact during peak season. Require an audit of all relevant equipment at every planned site visit, starting with Memphis. Approve broader travel and preventive maintenance after peak season based on pilot evidence, risk, cost, and available resources.</t>
  </si>
  <si>
    <t>Equipment Management email thread, 22–24-Oct-2026 PST; management direction from Stacy Nguyen and confirmation from Neil Zhou.</t>
  </si>
  <si>
    <t>On Hold</t>
  </si>
  <si>
    <t>Scoping form incomplete / technical owner and TSC decision blocking assignment</t>
  </si>
  <si>
    <t>TBD - after scoping approval and audit assignment</t>
  </si>
  <si>
    <t>Complete the UNIS LLC SOC 2 Type I audit using a current, approved scope and accountable cybersecurity and network validation.</t>
  </si>
  <si>
    <t>Adam Gentner issued the UNIS Audit Scoping Form through PandaDoc. The form was forwarded to Vincent and the technical team for review. Mike stated that, because he was leaving the company, he should not submit it and highlighted a material scope mismatch: the prior UNIS report appears Security-only, while the System Description and Vanta configuration indicate all five Trust Services Criteria.</t>
  </si>
  <si>
    <t>Assign the current cybersecurity and network owner; confirm whether the audit covers Security only or Security, Availability, Confidentiality, Processing Integrity, and Privacy; reconcile PandaDoc, Vanta, the System Description, controls, and evidence; submit the form; then obtain Johanson audit-team assignment and a revised schedule.</t>
  </si>
  <si>
    <t>Robert Moreno / Stacy Nguyen / Current Cybersecurity and Network Security Owner (TBD) / Adam Gentner / Vincent Tian / Yangyang Yang / Qingmin Li / Zhiwei Liu</t>
  </si>
  <si>
    <t>No accountable technical signatory is confirmed, and the inconsistent TSC scope could misstate the engagement, controls, evidence population, and final report. Audit assignment remains blocked.</t>
  </si>
  <si>
    <t>P1 decision required on technical ownership and TSC scope. Do not submit or sign until the current owner validates the complete form.</t>
  </si>
  <si>
    <t>FW: Adam Gentner sent you Unis LLC Audit Scoping Form, issued 15-Sep-2026 and forwarded for technical review.</t>
  </si>
  <si>
    <t>Security-only versus all-TSC scope mismatch unresolved</t>
  </si>
  <si>
    <t>Establish one approved UNIS Type I scope across the Audit Scoping Form, System Description, Vanta framework, controls, evidence, and final report.</t>
  </si>
  <si>
    <t>Mike identified that the prior-year UNIS SOC 2 report appears limited to Security, while the System Description states all Trust Services Criteria apply and Vanta is configured for all criteria. The intended 2026 report scope has not been formally confirmed by the accountable current owner and Johanson.</t>
  </si>
  <si>
    <t>Obtain management and Johanson confirmation of the intended TSC scope; document the rationale; update the scoping form, System Description, Vanta framework, control matrix, and evidence plan to the same scope; then secure owner validation before submission.</t>
  </si>
  <si>
    <t>Robert Moreno / Stacy Nguyen / Current Cybersecurity and Network Security Owner (TBD) / Adam Gentner / Johanson Audit Team / Vanta Administrator / Control Owners</t>
  </si>
  <si>
    <t>Proceeding with inconsistent scope artifacts could cause testing gaps, rework, an incorrect audit opinion, or further schedule delay.</t>
  </si>
  <si>
    <t>Treat this as a gating scope decision. Keep Red until one TSC position is documented and accepted across all audit artifacts.</t>
  </si>
  <si>
    <t>FW: Adam Gentner sent you Unis LLC Audit Scoping Form; Mike Wang scope-mismatch note.</t>
  </si>
  <si>
    <t>Evidence staged / approved TSC scope and auditor review pending</t>
  </si>
  <si>
    <t>Prepare complete current-year evidence that matches the approved UNIS Type I Trust Services Criteria and supports Johanson testing.</t>
  </si>
  <si>
    <t>Evidence preparation can continue, but formal auditor review remains blocked by the incomplete scoping form, missing technical owner, and unresolved Security-only versus all-TSC decision. Existing evidence may need remapping after the scope decision.</t>
  </si>
  <si>
    <t>Maintain evidence collection; identify the current control owners; resolve the TSC scope; map every control and artifact to the approved criteria; submit the scoping form; then grant the assigned Johanson team access and close review gaps.</t>
  </si>
  <si>
    <t>Evidence may become stale, incomplete, or mapped to the wrong criteria. Delayed assignment compresses auditor review and remediation time.</t>
  </si>
  <si>
    <t>Prioritize ownership and scope resolution before treating evidence readiness as near complete.</t>
  </si>
  <si>
    <t>FW: Adam Gentner sent you Unis LLC Audit Scoping Form; scope and ownership updates through Oct-2026.</t>
  </si>
  <si>
    <t>Critical blocker / scoping form and TSC approval outstanding</t>
  </si>
  <si>
    <t>TBD - after validated scoping submission and assignment</t>
  </si>
  <si>
    <t>Close the UNIS ownership and scope gates so Johanson can assign the audit team and rebaseline the delayed Type I engagement.</t>
  </si>
  <si>
    <t>The Audit Scoping Form was issued and shared with the technical team, but it is not validated or submitted. Mike declined to act as submitter because of his departure and raised the TSC mismatch. The original as-of date has passed, and audit-team assignment remains pending.</t>
  </si>
  <si>
    <t>Name the accountable technical owner; resolve the TSC scope; complete and validate the PandaDoc form; submit it; obtain written audit-team assignment; add the Project Lead, backup auditor, and QA reviewer in Vanta; and publish revised milestones.</t>
  </si>
  <si>
    <t>Robert Moreno / Stacy Nguyen / Current Cybersecurity and Network Security Owner (TBD) / Adam Gentner / Johanson Audit Team / Vanta Administrator</t>
  </si>
  <si>
    <t>The engagement cannot progress to formal assignment. Continued delay may require rebaselining and leave insufficient time for evidence review, remediation, and reporting.</t>
  </si>
  <si>
    <t>Daily P1 tracking until the form, scope decision, assignment, and revised schedule are confirmed.</t>
  </si>
  <si>
    <t>FW: Adam Gentner sent you Unis LLC Audit Scoping Form; PandaDoc form issued 15-Sep-2026.</t>
  </si>
  <si>
    <t>Renewal review pending / ITEM billing and payment allocation open</t>
  </si>
  <si>
    <t>TBD - before Dec-2026 renewal approval</t>
  </si>
  <si>
    <t>Reconcile invoices, payments, entity names, employee scope, commercial terms, and remaining milestones for the UNIS and ITEM engagements.</t>
  </si>
  <si>
    <t>The December 2026 Vanta renewal review is being coordinated with Anthony Knox. The proposed review will cover entity alignment, employee coverage, renewal pricing and terms, and required approvals. Stacy confirmed availability on 28-Oct-2026 from 11:00 AM to 1:00 PM PST; final meeting time and Anthony’s availability remain to be confirmed.</t>
  </si>
  <si>
    <t>Confirm the meeting time; prepare the current contracts, employee counts, entity-transition status, invoices, payment allocation, renewal dates, and pricing questions; obtain updated proposals; reconcile Accounting records; and route final terms for management approval.</t>
  </si>
  <si>
    <t>Robert Moreno / Stacy Nguyen / Anthony Knox / Adam Gentner / Johanson Accounting / ITEM and UNIS Accounting / Legal / Vanta Administrator</t>
  </si>
  <si>
    <t>Incomplete entity and employee data could produce incorrect pricing or contract scope. Unresolved payment allocation or billing names may delay renewal or create duplicate charges.</t>
  </si>
  <si>
    <t>Require written proposals and internal approval before accepting renewal terms or changing contracting entities.</t>
  </si>
  <si>
    <t>Re: UNIS &amp; ITEM Vanta December 2026 Contract Renewal Review, updated 22-Oct-2026 PST.</t>
  </si>
  <si>
    <t>UNIS &amp; ITEM Vanta December 2026 Contract Renewal Review</t>
  </si>
  <si>
    <t>Meeting window proposed / scope and commercial decisions pending</t>
  </si>
  <si>
    <t>TBD - before Dec-2026 contract expiration</t>
  </si>
  <si>
    <t>Finalize the Vanta renewal scope, contracting entities, employee coverage, pricing, terms, owners, and approval path for UNIS and ITEM before the December 2026 expiration.</t>
  </si>
  <si>
    <t>Robert defined the review agenda and expected outcome. Stacy confirmed availability on 28-Oct-2026 from 11:00 AM to 1:00 PM PST after the original 27-Oct window did not align with Anthony’s schedule. The final meeting time is not yet confirmed in the email thread.</t>
  </si>
  <si>
    <t>Confirm Anthony’s availability and issue the final invite; validate contracting entities and proposed transitions; confirm covered employee populations; request renewal pricing and terms; document scope impacts; assign owners and deadlines; and obtain internal approval before expiration.</t>
  </si>
  <si>
    <t>Robert Moreno / Stacy Nguyen / Anthony Knox / Vanta / Legal / Finance / HR / Compliance Owners</t>
  </si>
  <si>
    <t>Scheduling delay, incomplete employee counts, unresolved entity changes, or late commercial approval could reduce negotiation time and risk renewal interruption or incorrect contract scope.</t>
  </si>
  <si>
    <t>Confirm the meeting promptly and require a decision log, updated proposals, and dated approval actions after the review.</t>
  </si>
  <si>
    <t>Implemented / controlled calendaring exception validated</t>
  </si>
  <si>
    <t>TBD - ongoing governance</t>
  </si>
  <si>
    <t>Restrict individual UNIS.CO mailboxes to internal communication while preserving approved, narrowly scoped business exceptions.</t>
  </si>
  <si>
    <t>The internal-only mail-flow control remains active. A calendaring-message exception was configured and validated so external parties and @unis.co users can exchange Microsoft Teams meeting invitations without reopening normal external email.</t>
  </si>
  <si>
    <t>Maintain the standard external-email restriction, document the calendaring exception, monitor rejected traffic, and require change approval for any additional exception.</t>
  </si>
  <si>
    <t>Yangyang Yang / Email Team / Robert Moreno</t>
  </si>
  <si>
    <t>An overly broad exception could weaken the internal-only policy; an overly narrow rule could block legitimate meeting invitations.</t>
  </si>
  <si>
    <t>Keep the workstream Green while the base control remains effective. Review exception evidence during mail-flow governance.</t>
  </si>
  <si>
    <t>Re: Teams Meeting Invites to External Customers thread, updated through 20-Oct-2026 PST.</t>
  </si>
  <si>
    <t>Completed / Ongoing Governance</t>
  </si>
  <si>
    <t>Approved customer and partner domains are supported; prior gaps such as newly identified domains showed the need for ongoing governance.</t>
  </si>
  <si>
    <t>Use a documented onboarding and approval process for every new customer, partner, OTP, and system-notification domain.</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</si>
  <si>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</si>
  <si>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</si>
  <si>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</si>
  <si>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TBD - after routing and pilot acceptance</t>
  </si>
  <si>
    <t>Make UnisTicket and approved shared mailboxes the authoritative channel for operational and customer work, with clear boundaries for collaboration tools.</t>
  </si>
  <si>
    <t>The email review confirms that users create and send Teams meeting invitations directly from Outlook or Teams. UnisTicket does not generate or send meeting invitations. Shared-mailbox routing, queue ownership, and external/customer workflow acceptance remain open.</t>
  </si>
  <si>
    <t>Complete the shared-mailbox-to-ticket queue map, test ticket creation and replies, publish that meeting invitations originate in Outlook or Teams, and obtain operational acceptance for each supported communication path.</t>
  </si>
  <si>
    <t>Lex Yang / Robin Zhu / Gemar Ermac / Mary Smothers / Yangyang Yang / Robert Moreno</t>
  </si>
  <si>
    <t>Users may route invitations through the wrong channel, or customer messages may bypass ticket ownership if shared-mailbox and queue mappings are incomplete.</t>
  </si>
  <si>
    <t>Require documented channel guidance and end-to-end pilot evidence before closing the workflow.</t>
  </si>
  <si>
    <t>UNIS.CO Email Transition records and Teams Meeting Invites thread, updated through 20-Oct-2026 PST.</t>
  </si>
  <si>
    <t>PH migration complete / Phase II roster and dependency validation pending</t>
  </si>
  <si>
    <t>TBD - after Phase II roster approval</t>
  </si>
  <si>
    <t>Maintain an accurate mailbox population and assign each user to the approved UNIS.co or itemonline.co identity without disrupting business services.</t>
  </si>
  <si>
    <t>The original PH migration remains complete. The new Phase II proposal expands planning to non-IT members and to IT users in the US, PH, and China. Final rosters, distribution-group membership, account-retention needs, and system dependencies have not been approved.</t>
  </si>
  <si>
    <t>Obtain the authoritative HR and IT rosters; confirm which users require UNIS.co, itemonline.co, or retained ITEM customer-facing accounts; validate groups, aliases, logins, OTP, Teams, and business applications before cutover.</t>
  </si>
  <si>
    <t>Stacy Nguyen / Tom Yu / Yangyang Yang / Lex Yang / Vee Serra / HR / Help Desk / Robert Moreno</t>
  </si>
  <si>
    <t>Incorrect identity allocation or premature account removal could interrupt customer communication, system access, authentication, or group delivery.</t>
  </si>
  <si>
    <t>Keep this row Amber until the Phase II population, dependencies, retention rules, and rollout sequence are approved.</t>
  </si>
  <si>
    <t>Re: Unis.co Account Migration Phase II thread, updated through 19-Oct-2026 PST.</t>
  </si>
  <si>
    <t>Phase 1 technically complete / operational sign-off pending</t>
  </si>
  <si>
    <t>Technical implementation for the initial rollout is complete. Mary issued user communication reinforcing UnisTicket. Remaining acceptance items are PH Operations channel guidance, client reconfiguration validation, complete ticket-group and exception mapping, and agreement on urgent-request handling during a ticketing outage.</t>
  </si>
  <si>
    <t>Obtain named sign-off from Operations and Customer Service; publish the approved channel guide for UnisTicket, SMS, and authorized email exceptions; close client-validation items; and approve a separately scoped pilot for PH-US direct-email restrictions.</t>
  </si>
  <si>
    <t>Robert Moreno / Mary Smothers / Gemar Ermac / Patrick Pogoy / Michelle Topete / Business Owners / IT</t>
  </si>
  <si>
    <t>Closing Phase 1 before users, exceptions, routing, and contingency procedures are validated could leave hidden communication gaps or drive staff back to direct Outlook follow-ups.</t>
  </si>
  <si>
    <t>Treat technical completion and business acceptance separately. Require explicit sign-off or documented exceptions before closure.</t>
  </si>
  <si>
    <t>PH Operations email workflow and Phase 1 sign-off thread, Sep 24–Oct 4, 2026 PST.</t>
  </si>
  <si>
    <t>User validation and support in progress</t>
  </si>
  <si>
    <t>TBD - after user acceptance</t>
  </si>
  <si>
    <t>The prior account-data exceptions are superseded by the completed migration: 116 accounts were migrated and five HR-approved accounts were excluded. The remaining issue is client-side cache or profile configuration that may continue displaying or sending from the old UNISCO.COM address.</t>
  </si>
  <si>
    <t>Publish reconfiguration guidance; identify affected users; reset or recreate profiles where required; verify sending, receiving, calendars, Teams, mobile access, and aliases; document HelpDesk completion and user acceptance.</t>
  </si>
  <si>
    <t>Yangyang Yang / Billy Rivas / Mel Gutierrez / HelpDesk / Affected Users</t>
  </si>
  <si>
    <t>Incomplete reconfiguration may cause incorrect sender presentation, failed user adoption, duplicate support cases, or confusion over the authoritative address.</t>
  </si>
  <si>
    <t>Track affected users to verified closure and retain UNISCO.COM aliases unless a separately approved change removes them.</t>
  </si>
  <si>
    <t>Yangyang Yang client-reconfiguration update and migration confirmation, Sep 23–24, 2026 PST.</t>
  </si>
  <si>
    <t>PH-US Direct Email Restriction and Ticketing Enforcement</t>
  </si>
  <si>
    <t>Requirements and limited pilot pending / calendaring path validated</t>
  </si>
  <si>
    <t>TBD - after approved pilot</t>
  </si>
  <si>
    <t>Route PH-US operational and customer communications through UnisTicket while preserving approved direct-email exceptions, calendar invitations, and service continuity.</t>
  </si>
  <si>
    <t>The calendaring exception now permits inbound and outbound Teams meeting invitations while normal external email restrictions remain in place. Ticketing does not create or send the invitations. The broader PH-US direct-email enforcement scope, exception roster, and outage fallback remain pending.</t>
  </si>
  <si>
    <t>Finalize the enforcement population and named exceptions; link users to the correct shared-mailbox and ticket queues; use the dedicated Teams-invitation procedure; approve the outage fallback; and run a monitored pilot with rollback criteria.</t>
  </si>
  <si>
    <t>Gemar Ermac / Mary Smothers / Michelle Topete / Lex Yang / Robin Zhu / HR PH / Yangyang Yang / Robert Moreno</t>
  </si>
  <si>
    <t>A broad rule could block critical functions, while unclear channel guidance could drive users to unapproved workarounds or cause meeting-response failures.</t>
  </si>
  <si>
    <t>Approve scope, exceptions, contingency, and pilot evidence before production enforcement. Track the invitation-reply NDR separately.</t>
  </si>
  <si>
    <t>PH Operations restriction records and Teams Meeting Invites thread, updated through 20-Oct-2026 PST.</t>
  </si>
  <si>
    <t>UNIS.CO / ITEMONLINE.CO Domain Migration Phase II</t>
  </si>
  <si>
    <t>Phased strategy proposed / stakeholder approval pending</t>
  </si>
  <si>
    <t>TBD - after scope, roster, and dependency approval</t>
  </si>
  <si>
    <t>Implement a controlled domain strategy for non-IT and global IT users while preserving required ITEM customer-facing identities and system access.</t>
  </si>
  <si>
    <t>Tom directed ITEM internal communication to use itemonline.co and confirmed China members are in scope. Stacy proposed UNIS.co Phase II for non-IT members, itemonline.co Phase I for US and PH IT, and itemonline.co Phase II for China IT. Input from Yangyang, Lex, and Robert is still requested.</t>
  </si>
  <si>
    <t>Approve the domain model; confirm US, PH, China, and non-IT rosters; inventory distribution groups and owners; identify logins and OTP dependencies; preserve required customer-facing ITEM accounts; pilot US/PH IT; then stage China IT with communications and rollback plans.</t>
  </si>
  <si>
    <t>Stacy Nguyen / Tom Yu / Yangyang Yang / Lex Yang / Robert Moreno / Vee Serra / HR / Help Desk / Business Owners</t>
  </si>
  <si>
    <t>Account deactivation could break system administration or customer communication. Unapproved rosters, unclear domain ownership, and cross-region timing could create access and adoption issues.</t>
  </si>
  <si>
    <t>Leadership approval is required for the phased model, retention rules, owners, and cutover gates before provisioning or deactivation.</t>
  </si>
  <si>
    <t>External Microsoft Teams Invitation Workflow</t>
  </si>
  <si>
    <t>Enable controlled external Microsoft Teams meeting invitations without relaxing the standard external-email restriction.</t>
  </si>
  <si>
    <t>Users can create and send invitations directly from Outlook or Teams. @unis.co users can invite external participants, and external users can invite @unis.co recipients after the calendaring exception. Both sides receive the invitation details. Directly replying by email to the invitation produces an NDR for both internal and external users.</t>
  </si>
  <si>
    <t>Confirm the supported response path using Accept, Tentative, Decline, proposed-time, update, and cancellation actions; decide whether direct email replies are intentionally blocked; publish user guidance; validate organizer backup and joining behavior; and monitor the exception.</t>
  </si>
  <si>
    <t>Yangyang Yang / Billy Rivas / Gemar Ermac / Lex Yang / Armin / Cris / Network Support / Robert Moreno</t>
  </si>
  <si>
    <t>Users may assume an emailed reply was delivered when it generated an NDR. A mis-scoped mail-flow exception could either block invitations or permit unintended external email.</t>
  </si>
  <si>
    <t>Keep Amber until the reply behavior is resolved or formally accepted, end-to-end calendar tests pass, and operating guidance is published.</t>
  </si>
  <si>
    <t>Resolved all errors and negative ROI confirmed / Handed over to Operations</t>
  </si>
  <si>
    <t>Handed over as of 22nd Oct 2026</t>
  </si>
  <si>
    <t>Management wants to continue using the robot so it handed over to ops team again. Anuj will update the report per contianer to get more numbers for ROI.</t>
  </si>
  <si>
    <t>Operations resumed use after recent maintenance to collect another data point. The container processed on 8-Oct still lost approximately $160, and the same errors recurred. September results were 13 containers, estimated robot cost of $7,220, customer billing of $5,915, and a net loss of $1,305; manual processing was estimated to produce about $2,015 in profit. It is still used by the 2nd shift to get more data of the cost.</t>
  </si>
  <si>
    <t xml:space="preserve">Continue Monitoring the working of the Robot. Create ROI analysis as we offload the container. </t>
  </si>
  <si>
    <t>Anuj Jagetia / Tom Yu / Brant Ji / Neil Zhou / Abhijeet Rathi / XYZ Robotics / Heacock Operations / Facilities / Finance / Robert Moreno</t>
  </si>
  <si>
    <t xml:space="preserve">Recurring technical failures and negative economics make further production use and repair spending unjustified. </t>
  </si>
  <si>
    <t>Monitor working and ROI.</t>
  </si>
  <si>
    <t>Update Regarding XYZ Robot email thread, latest update after 8-Oct-2026 container test; September ROI: 13 containers, $7,220 estimated cost, $5,915 billing, $1,305 loss, versus approximately $2,015 manual profit.</t>
  </si>
  <si>
    <t>AirRob (Phase 1)</t>
  </si>
  <si>
    <t>Ops team using the system. Help provided incase of errors.</t>
  </si>
  <si>
    <t>Sustain AirRob operations at Alessandro through clear shift support, prompt issue reporting, accurate ASRS returns, and appropriate SKU usage.</t>
  </si>
  <si>
    <t>AirRob is in use by Operations. The top SKU list, based on the last 90 days of order volume, was shared on Sep 21. Chad provided AM and PM AirRob contacts and they have been trained. FTZ inspection pending due to which no new skus added inside the AirRob. Currently AirRob has only 555 different SKUs inside (1 SKU 1 box only)</t>
  </si>
  <si>
    <t>Chad/Ops: After FTZ inspection done and if allowed put more SKUs inside the AirRob to utilize it in its maximum capacity.</t>
  </si>
  <si>
    <t>Chad Jacobs / Ops AM and PM contacts / Abhijeet Rathi / Brant Ji / Neil Zhou / Anuj Jagetia / WISE Team</t>
  </si>
  <si>
    <t>Limited SKU adoption may constrain utilization.</t>
  </si>
  <si>
    <t>Ops to let us know after FTZ inspection is done whether NYDJ customer be used in AirRob or not. If yes, then put more SKUs inside the AirRob.</t>
  </si>
  <si>
    <t>AirRob operational support email thread, Sep 8 – Oct 6, 2026; FTZ Inspection pending Oct 21. Previous source: Project Update 8.xlsx – AirRob.</t>
  </si>
  <si>
    <t>QTS Data Center Service Reactivation</t>
  </si>
  <si>
    <t>Contract transfer signed / equipment verification and operational readiness pending</t>
  </si>
  <si>
    <t>TBD - after equipment, access, rack, power, connectivity, and service-readiness validation</t>
  </si>
  <si>
    <t>Bring QTS Suwanee back into service through a controlled reactivation that confirms usable equipment, secure recovery direction, facility readiness, technical ownership, cost, and an achievable deployment schedule.</t>
  </si>
  <si>
    <t>Stacy confirmed that the QTS Suwanee contract transfer from LSO is signed. The commercial transfer is complete, but operational readiness remains pending. Robert shared the LSO inventory link with David for verification of devices removed from QTS and believed to be at Buena Park. Equipment specifications, physical condition, completeness, and suitability have not yet been confirmed.</t>
  </si>
  <si>
    <t>David: reconcile the LSO inventory against equipment at Buena Park and document model, specifications, condition, and any missing or discrepant items. Mike and Yangyang: document the prior compromise, recovery actions, and remaining security requirements. Obtain Tom’s direction on whether any legacy recovery is still required or the team should proceed with a fresh build. Assign a lead for QTS site-readiness validation and confirm rack space, power, connectivity, physical access, support contacts, and whether an onsite visit is required. Consolidate findings, blockers, costs, and expected completion dates into the reactivation plan.</t>
  </si>
  <si>
    <t>Robert Moreno / Stacy Nguyen / Tom Yu / David Rodriguez / Mike Wang / Yangyang Yang / Network Support / Infrastructure and Security Teams / QTS</t>
  </si>
  <si>
    <t>The signed transfer does not establish operational readiness. Equipment may be missing, unsuitable, damaged, or affected by the previous compromise. Rack capacity, power, connectivity, access, service ownership, and onsite requirements are unverified. Delayed decisions on fresh build versus legacy recovery may extend cost and schedule uncertainty.</t>
  </si>
  <si>
    <t>Treat contract execution as a completed milestone only. Require an evidence-based equipment inventory, documented security and recovery history, Tom’s build-direction decision, named site-readiness owner, and confirmed QTS facility capabilities before approving deployment dates or declaring the site operational.</t>
  </si>
  <si>
    <t>QTS Suwanee Reactivation: Status and Next Steps email, 11-Oct-2026 PST. Stacy confirmed the LSO contract transfer is signed; operational readiness remains pending equipment, security/recovery, deployment, and site-readiness decisions.</t>
  </si>
  <si>
    <t>QTS Backup Data Center Strategy</t>
  </si>
  <si>
    <t>Proposed service scope defined / architecture, platform, capacity, and recovery requirements pending</t>
  </si>
  <si>
    <t>TBD - after equipment suitability, service requirements, site readiness, and architecture approval</t>
  </si>
  <si>
    <t>Define a supportable QTS backup-data-center design for domain controllers, HikCentral, selected application servers, and approved secondary business-continuity services, with clear recovery objectives, ownership, testing, and cost controls.</t>
  </si>
  <si>
    <t>The proposed workload scope includes domain controllers, HikCentral, selected application servers, and possible secondary services for business continuity. Proxmox VE is the proposed virtualization approach, subject to equipment verification and technical assessment. The final design is not approved and depends on hardware suitability, available capacity, site readiness, security requirements, and confirmed service needs.</t>
  </si>
  <si>
    <t>After David completes the equipment verification, assess compute, memory, storage, network, and supportability for reuse and confirm whether Proxmox VE is appropriate. Define the authoritative workload list, service owners, dependencies, recovery time and recovery point objectives, backup and replication methods, network and security design, monitoring, failover and restoration procedures, acceptance criteria, test cadence, implementation phases, required purchases, operating cost, and target schedule. Align the design with Tom’s fresh-build or legacy-recovery direction.</t>
  </si>
  <si>
    <t>Mike Wang / Robert Moreno / Tom Yu / Stacy Nguyen / David Rodriguez / Yangyang Yang / Network Support / Application Owners / Infrastructure, Security, Backup, and QTS Teams</t>
  </si>
  <si>
    <t>Unverified or previously compromised hardware may be unsuitable for reuse. Undefined workload requirements, capacity, recovery objectives, ownership, connectivity, security controls, and testing could produce an unsupported platform or a false sense of resilience. Proxmox VE suitability remains subject to technical validation.</t>
  </si>
  <si>
    <t>Approve the workload scope, recovery objectives, platform decision, accountable owners, budget, and validation plan before build. Require a fresh and secure implementation path unless management explicitly authorizes justified legacy recovery. Do not classify QTS as backup-ready until deployment, access, replication, failover, restoration, and evidence-based testing are completed.</t>
  </si>
  <si>
    <t>QTS Suwanee Reactivation: Status and Next Steps email, 11-Oct-2026 PST. Proposed scope: domain controllers, HikCentral, selected application servers, and potential secondary business-continuity services; Proxmox VE assessment follows equipment verification.</t>
  </si>
  <si>
    <t>Atlanta 6150 LaGrange Internet</t>
  </si>
  <si>
    <t>Activation provisioner assigned / router delivery pending; month-end target at risk</t>
  </si>
  <si>
    <t>TBD - router delivery and provider activation; current target may slip about one week</t>
  </si>
  <si>
    <t>Activate the permanent AT&amp;T circuit and remove dependence on temporary connectivity after controlled technical and business validation.</t>
  </si>
  <si>
    <t>The carrier assigned an activation provisioner, but the router has not arrived. The end-of-month activation target is at risk and may slip by approximately one week; a revised confirmed date was not provided. Temporary equipment at 6150 LaGrange may be reused only as a contingency after Atlanta activation.</t>
  </si>
  <si>
    <t>Obtain router shipment and delivery dates; secure a confirmed activation and onsite cutover schedule; complete cabling, firewall, routing, Wi-Fi, application, performance, failover, and user tests; document acceptance before removing temporary service.</t>
  </si>
  <si>
    <t>David Rodriguez / Huy / Erik Solis / Network Engineering / AT&amp;T / Atlanta Operations / Robert Moreno</t>
  </si>
  <si>
    <t>Router delivery and an unconfirmed provider date can delay cutover. Reusing temporary equipment before permanent service acceptance could create a second outage.</t>
  </si>
  <si>
    <t>Escalate the router ETA and revised carrier commitment. Keep temporary connectivity in service until signed operational acceptance.</t>
  </si>
  <si>
    <t>ISP Notes, 16-Oct-2026 PST; IT Infrastructure Update email, 14-Oct-2026 PST.</t>
  </si>
  <si>
    <t>6150 LaGrange Network Design</t>
  </si>
  <si>
    <t>Complete the standard network architecture.</t>
  </si>
  <si>
    <t>Phase 2 overall design direction is OK.</t>
  </si>
  <si>
    <t>Complete the initial network plan using the standard template.</t>
  </si>
  <si>
    <t>Mike Wang, Robert, Network Team</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</si>
  <si>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</si>
  <si>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</si>
  <si>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</si>
  <si>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</si>
  <si>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</si>
  <si>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</si>
  <si>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</si>
  <si>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</si>
  <si>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</si>
  <si>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Ongoing / activations, site visits, billing disputes, disconnects, and returns remain open</t>
  </si>
  <si>
    <t>TBD - by site and carrier confirmation</t>
  </si>
  <si>
    <t>Optimize the carrier portfolio by completing activations, cutovers, disconnects, site assessments, equipment returns, billing corrections, and inventory reconciliation with auditable closure evidence.</t>
  </si>
  <si>
    <t>City Park Loop service was restored after a second USG reboot; the root cause remains unconfirmed and an assessment may still be required. City Park Loop had a power-outage ticket last week and no current-week incident. Atlanta awaits router delivery. Charleston 1301 was reported offline from 14-Oct, while its 1-Nov disconnect and any month-to-month extension remain unconfirmed. Onsite work is still required at 6150 LaGrange, 6200 St. Johns, and 1228 Cornerway. Production Avenue billing, Buena Park modem return, Norcross disconnect, Douglasville modem return, Goodyear disconnect, and Angola Frontier-equipment recovery remain open.</t>
  </si>
  <si>
    <t>Jerimar to identify the affected City Park Loop equipment, document the reboot and monitoring outcome, and determine whether IT assessment or Facilities support is required. Verify the ISP master record and addresses; assign David/Huy onsite dates; confirm Atlanta activation; verify whether 1301 remains needed before any extension; close each billing dispute, disconnect, and equipment return with written carrier evidence, tracking, final invoices, and Accounting validation.</t>
  </si>
  <si>
    <t>Robert Moreno / Erik Solis / David Rodriguez / Huy / Network Engineering / Site Operations / Accounting / Carrier Teams</t>
  </si>
  <si>
    <t>Unconfirmed dates, ambiguous site records, missing return evidence, disputed charges, and premature disconnections may create outages, collections activity, non-return fees, or recurring cost.</t>
  </si>
  <si>
    <t>Review open carrier items weekly. Do not approve disputed fees or close any site without verified address, service need, carrier confirmation, equipment disposition, and final-bill reconciliation.</t>
  </si>
  <si>
    <t>Infrastructure meeting follow-up, updated 23-Oct-2026 PST; ISP Notes, 16-Oct-2026 PST; IT Infrastructure Update email, 14-Oct-2026 PST.</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</si>
  <si>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</si>
  <si>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</si>
  <si>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</si>
  <si>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</si>
  <si>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</si>
  <si>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</si>
  <si>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</si>
  <si>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</si>
  <si>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</si>
  <si>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</si>
  <si>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</si>
  <si>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</si>
  <si>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Alessandro Wi-Fi Remediation</t>
  </si>
  <si>
    <t>AP mapping substantially complete / coverage and office validation pending</t>
  </si>
  <si>
    <t>TBD - after controlled coverage testing and office assessment</t>
  </si>
  <si>
    <t>Complete the Alessandro AP inventory and validate stable warehouse, office, Cubework, and adjacent-area coverage before retiring older access points.</t>
  </si>
  <si>
    <t>The AP map is substantially complete. Two Aruba APs still require MAC details, and remaining UniFi units need clear identification. Three new U7 Pro APs and the Aruba APs will remain online during testing. Office AP models and consistency across both floors still require onsite verification.</t>
  </si>
  <si>
    <t>David to finish labels, MAC details, and the online/offline AP list. Mahan and Jerimar to review clients, SSIDs, and VLANs; temporarily disable older UniFi units; test warehouse, office, Cubework, and adjacent coverage; restore units if service is affected; validate the office AP and prepare a replacement if required.</t>
  </si>
  <si>
    <t>David Rodriguez / Mahan Sasani / Jerimar Castaneda / Alessandro Operations / Robert Moreno</t>
  </si>
  <si>
    <t>Incomplete identification or uncontrolled AP shutdown could create coverage gaps, roaming issues, or incorrect remediation decisions.</t>
  </si>
  <si>
    <t>Keep Amber until controller-to-map reconciliation, controlled testing, office validation, rollback evidence, and Operations acceptance are complete.</t>
  </si>
  <si>
    <t>October 21 Project Follow-Up: Relocation Decisions, Site Status, and Next Steps.</t>
  </si>
  <si>
    <t>Long Beach – Backup Connectivity</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</si>
  <si>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</si>
  <si>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</si>
  <si>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</si>
  <si>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</si>
  <si>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</si>
  <si>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8/19 status update</t>
  </si>
  <si>
    <t>Atlas / Camera Access Security</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</si>
  <si>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</si>
  <si>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</si>
  <si>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</si>
  <si>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</si>
  <si>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</si>
  <si>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Power Panel, Equipment and UPS Transition</t>
  </si>
  <si>
    <t>Move scope and destinations pending / UPS transfer dependent on Walnut readiness</t>
  </si>
  <si>
    <t>TBD - after destination and facilities approval</t>
  </si>
  <si>
    <t>Confirm the Stimson equipment, rack, UPS, power, and service-dependency scope and execute transfers without disrupting production or recovery coverage.</t>
  </si>
  <si>
    <t>The Stimson move scope and final destinations are not confirmed. The UPS transfer depends on Walnut rack, power, cooling, and facilities readiness. Any Stimson server consolidation into LAX must be included in the LAX capacity and cost assessment.</t>
  </si>
  <si>
    <t>Identify equipment included in the immediate move; map service and power dependencies; confirm UPS condition and destination; validate Walnut readiness and LAX capacity; define sequencing, downtime, backup, rollback, transport, installation, and acceptance dates.</t>
  </si>
  <si>
    <t>Mahan Sasani / David Rodriguez / Jorge Reyes / Cubework / Facilities / Robert Moreno / Server Owners</t>
  </si>
  <si>
    <t>Moving the UPS or equipment before destination readiness could remove protection from active systems, create outage risk, or require repeated moves.</t>
  </si>
  <si>
    <t>Require approved placement, load, cooling, transport, outage, and recovery plans before transfer.</t>
  </si>
  <si>
    <t>Buena Park – Conference Room</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</si>
  <si>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</si>
  <si>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</si>
  <si>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</si>
  <si>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</si>
  <si>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</si>
  <si>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</si>
  <si>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</si>
  <si>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</si>
  <si>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</si>
  <si>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</si>
  <si>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</si>
  <si>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</si>
  <si>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</si>
  <si>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</si>
  <si>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</si>
  <si>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</si>
  <si>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</si>
  <si>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</si>
  <si>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</si>
  <si>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</si>
  <si>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</si>
  <si>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</si>
  <si>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</si>
  <si>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Wi-Fi Correction, Mac Roaming &amp; Failover Validation</t>
  </si>
  <si>
    <t>SSID corrected / Mac roaming investigation and failover evidence pending</t>
  </si>
  <si>
    <t>TBD - after onsite reproduction and evidence-based failover validation</t>
  </si>
  <si>
    <t>Provide stable Walnut Wi-Fi roaming for affected Mac users and validate WAN failover under representative business load before occupancy.</t>
  </si>
  <si>
    <t>Two first-floor APs were corrected to broadcast LT Office. Kuan and Christine continue to report frequent or intermittent MacBook Pro roaming/connection issues near Christine’s office while Windows users appear unaffected. No onsite observation is documented. Failover reportedly worked, but test date, interruption, applications, and load were not recorded.</t>
  </si>
  <si>
    <t>Observe the issue onsite with the affected Macs; capture client/AP/controller logs; validate SSID, band, roaming, authentication, DHCP/DNS, and RF behavior; apply and retest changes. Repeat and document failover with representative applications, load, duration, and user acceptance.</t>
  </si>
  <si>
    <t>Mahan Sasani / Jerimar Castaneda / Kuan Goh / Christine / Network Engineering / Walnut Users</t>
  </si>
  <si>
    <t>An Apple-specific roaming issue or configuration drift may persist unnoticed. An undocumented failover test does not prove production readiness.</t>
  </si>
  <si>
    <t>Require reproducible evidence, corrective-action records, affected-user acceptance, and a documented failover test before closure.</t>
  </si>
  <si>
    <t>BP Relocation Notes, 13-Oct-2026 PST; prior Walnut Wi-Fi record.</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</si>
  <si>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</si>
  <si>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</si>
  <si>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</si>
  <si>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</si>
  <si>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Davao SFTP Server Request</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</si>
  <si>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</si>
  <si>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</si>
  <si>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</si>
  <si>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</si>
  <si>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</si>
  <si>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</si>
  <si>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Alessandro Network &amp; Power Recovery</t>
  </si>
  <si>
    <t>Service restored / stability monitoring</t>
  </si>
  <si>
    <t>TBD - after stability validation</t>
  </si>
  <si>
    <t>Restore stable network service, identify damaged equipment, and prevent repeat disruption from unresolved electrical or power-distribution conditions.</t>
  </si>
  <si>
    <t>The team recovered connectivity after power-related disruption and abnormal switch recovery. Some equipment in affected IDFs may be damaged. A later UniFi check showed APs and cameras online, but full stability and the electrical root cause remain unverified.</t>
  </si>
  <si>
    <t>Monitor service through the weekend; inventory damaged or unstable equipment; verify switch, uplink, AP, camera, and IDF status; complete the electrical assessment; document the root cause; and submit replacement and UPS recommendations.</t>
  </si>
  <si>
    <t>Mahan Sasani / Jerimar Castaneda / David Rodriguez / Steve Kim and Electrical Team / Alessandro Operations / Robert Moreno</t>
  </si>
  <si>
    <t>Restored connectivity does not prove full recovery. Undetected equipment damage or unresolved power quality issues could cause another outage.</t>
  </si>
  <si>
    <t>Maintain incident oversight until stability evidence, damaged-asset disposition, and the electrical corrective plan are confirmed.</t>
  </si>
  <si>
    <t>Network, Relocation, and Help Desk meeting notes, 2-Oct-2026 PST; Alessandro outage follow-up.</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</si>
  <si>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</si>
  <si>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</si>
  <si>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</si>
  <si>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</si>
  <si>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</si>
  <si>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</si>
  <si>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</si>
  <si>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</si>
  <si>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Fiber, IDF, Wireless &amp; Workstation Readiness</t>
  </si>
  <si>
    <t>Stations 8-14 wired and more stable / remaining wiring, RAM upgrades, and Wi-Fi validation open</t>
  </si>
  <si>
    <t>2026-10-13</t>
  </si>
  <si>
    <t>TBD - after remaining wiring, upgrades, scanner tests, and Operations acceptance</t>
  </si>
  <si>
    <t>Stabilize Joliet warehouse processing through wired workstation connectivity, right-sized endpoints, adequate switch capacity, and validated Wi-Fi coverage for mobile devices.</t>
  </si>
  <si>
    <t>A new 24-port server-room switch was installed and the removed 16-port switch is planned for the drop-ship area. Stations 8-14 were hardwired and users reported improved stability. Stations 1, 3, 4, 7, 12, 13, and 14 need RAM review or upgrade; Station 14 is priority. Station 8 replacement/reassessment remains open. Wi-Fi issues remain in aisles 32-34, 46-50, and 61, and some stations lack antennas.</t>
  </si>
  <si>
    <t>Complete and validate wired connections for Stations 1-7; confirm application access, printing, and stability with Operations. Reassess or replace Station 8. Finalize RAM quantities, stock, cost, and installation dates; prioritize Station 14. Test mobile scanners and coverage in affected aisles. Network Support to validate switch configuration, uplinks, and ports. Produce one action/owner/date/cost/blocker list.</t>
  </si>
  <si>
    <t>David Rodriguez / Javier Montane / Steven Garcia / Network Support / Joliet Operations / Robert Moreno</t>
  </si>
  <si>
    <t>Open workstation hardware, missing antennas, reused-switch capacity, and unresolved aisle coverage may continue operational instability. Costs and installation dates are not confirmed.</t>
  </si>
  <si>
    <t>Maintain Amber until all active stations are validated on wired LAN, priority hardware is remediated, scanner/Wi-Fi testing is complete, and Operations signs off. Require IT review before new floor equipment is deployed.</t>
  </si>
  <si>
    <t>Joliet Network, Wi-Fi &amp; Workstation Assessment email thread, latest 16-Oct-2026 PST.</t>
  </si>
  <si>
    <t>Network stable / 16 stations wired / application slowness and remaining field work open</t>
  </si>
  <si>
    <t>TBD - after application diagnosis and remaining network work</t>
  </si>
  <si>
    <t>Maintain stable Joliet connectivity and complete workstation, camera, fiber, wireless, and AGV network readiness.</t>
  </si>
  <si>
    <t>Wi-Fi was reported stable and 16 stations were hardwired. Application slowness remains unresolved and may not be network-related. Remaining station, camera, and fiber work still requires dates, and AGV connectivity must be validated when the equipment arrives.</t>
  </si>
  <si>
    <t>Confirm the full 3901 Brandon Road site record; collect timestamps and affected workflows; compare endpoint, application, server, and network performance; assign the application owner; finish remaining station, camera, and fiber work; and validate AGV connectivity on arrival.</t>
  </si>
  <si>
    <t>David Rodriguez / Jerimar Castaneda / Joliet Operations / Application Owner (TBD) / AGV Team / Robert Moreno</t>
  </si>
  <si>
    <t>Application slowness may be misclassified as network failure. Unfinished field work or untested AGV connectivity could affect operations.</t>
  </si>
  <si>
    <t>Maintain Amber until the fault domain is confirmed, remaining work is dated and completed, and Operations accepts performance.</t>
  </si>
  <si>
    <t>Tolleson AZ Facility Decommission</t>
  </si>
  <si>
    <t>Scheduled</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</si>
  <si>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</si>
  <si>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</si>
  <si>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</si>
  <si>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</si>
  <si>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</si>
  <si>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</si>
  <si>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</si>
  <si>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</si>
  <si>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Carrier hardware and service reconciliation is in progress. The ISP master list now covers active sites; MoFi and remaining records are not yet complete.</t>
  </si>
  <si>
    <t>Complete MoFi and other outstanding inventory; confirm custodian, business need, returns or cancellations, and final billing.</t>
  </si>
  <si>
    <t>Robert Moreno / David Rodriguez / Jerimar Castaneda / Mahan Sasani</t>
  </si>
  <si>
    <t>Unknown device ownership and usage may conceal waste, loss, or operational dependency.</t>
  </si>
  <si>
    <t>Keep the workstream open through final billing confirmation.</t>
  </si>
  <si>
    <t>IT daily standup notes provided Sep 27, 2026; IT Network Team Meeting Notes, Sep 11, 2026.</t>
  </si>
  <si>
    <t>MoFi Router, Mobile Hotspot and Field Inventory Review</t>
  </si>
  <si>
    <t>Central tracker update pending / ownership and return reconciliation open</t>
  </si>
  <si>
    <t>TBD - after physical and billing reconciliation</t>
  </si>
  <si>
    <t>Maintain an accurate central inventory of hotspots, MoFi routers, assigned users, sites, service status, returns, and recurring cost.</t>
  </si>
  <si>
    <t>The central hotspot tracker still requires updating. David will reconcile records after returning to Buena Park. Device custody, active-service need, return obligations, and billing status remain incomplete.</t>
  </si>
  <si>
    <t>Reconcile each device by serial, carrier, line, custodian, site, business need, status, and monthly cost; identify missing assets; return or cancel unused services; retain shipment and carrier evidence; update the central tracker and Accounting records.</t>
  </si>
  <si>
    <t>David Rodriguez / Robert Moreno / Jerimar Castaneda / Mahan Sasani / Accounting / Carrier Teams</t>
  </si>
  <si>
    <t>Incomplete inventory may conceal lost devices, unnecessary recurring charges, unreturned equipment, or unsupported operational dependencies.</t>
  </si>
  <si>
    <t>Keep Amber until the physical inventory, tracker, carrier records, and billing are reconciled.</t>
  </si>
  <si>
    <t>Buena Park Closure &amp; Infrastructure Transition</t>
  </si>
  <si>
    <t>Destination decision, facilities readiness, and migration approval pending</t>
  </si>
  <si>
    <t>TBD - after placement and facilities confirmation</t>
  </si>
  <si>
    <t>Relocate Buena Park infrastructure to approved Walnut and LAX destinations with controlled downtime, backups, rollback, and operational validation.</t>
  </si>
  <si>
    <t>The working proposal places most business servers at Walnut and the IT Hyper-V host with two storage units at LAX. Consolidating more equipment at Walnut was raised as a possible cost-saving option. Final destinations, Walnut facilities readiness, LAX capacity and costs, and the move schedule remain unapproved.</t>
  </si>
  <si>
    <t>Consolidate the authoritative equipment list and server dependencies; compare Walnut-only versus Walnut/LAX options; confirm rack, power, cooling, access, network, recovery, cost, and support; obtain Tom and Stacy direction; then publish migration sequence, downtime, backups, rollback, transport, validation, and owner dates.</t>
  </si>
  <si>
    <t>Robert Moreno / Tom Yu / Stacy Nguyen / Mahan Sasani / David Rodriguez / Yangyang Yang / Server and Application Owners / Facilities / Network Engineering</t>
  </si>
  <si>
    <t>A move scheduled before placement and facilities approval could cause service outage, data loss, capacity shortfall, unsupported recovery, or repeated equipment moves.</t>
  </si>
  <si>
    <t>Red leadership decision gate. Do not schedule migration until destination, facilities, capacity, cost, backup, rollback, and recovery requirements are approved.</t>
  </si>
  <si>
    <t>Local Server, Hyper-V &amp; UNISCO.com Infrastructure Handoff</t>
  </si>
  <si>
    <t>Inventory consolidation in progress / mini-PC ownership and recovery requirements open</t>
  </si>
  <si>
    <t>TBD - after technical and business-owner approval</t>
  </si>
  <si>
    <t>Create an authoritative inventory and handoff for servers, Hyper-V hosts and VMs, storage, backups, mini PCs, applications, ownership, and relocation dependencies.</t>
  </si>
  <si>
    <t>Server placement remains open. The Supermicro system is operational but its underlying issue is unresolved. Five mini-PC owners and business purposes remain unidentified. A broader Hyper-V transition will be discussed after relocation, but interim backup and recovery readiness must be confirmed first.</t>
  </si>
  <si>
    <t>Complete server, VM, storage, and mini-PC ownership and purpose checks; group systems with dependencies and recovery requirements; validate backup and restore; identify interim Supermicro measures; classify each asset for retain, move, rebuild, archive, or retire; obtain business-owner approval.</t>
  </si>
  <si>
    <t>Yangyang Yang / Mahan Sasani / David Rodriguez / Robert Moreno / Server and Application Owners / Backup Team / Infrastructure Team</t>
  </si>
  <si>
    <t>Unknown ownership or dependencies can cause improper shutdown, data loss, unsupported placement, or failure to restore critical services.</t>
  </si>
  <si>
    <t>Require a named owner, purpose, disposition, backup, and restoration plan for every asset before shutdown or migration.</t>
  </si>
  <si>
    <t>HikCentral  HTTPS Service</t>
  </si>
  <si>
    <t>Keep the HikCentral website available over HTTPS.</t>
  </si>
  <si>
    <t>Jerimar restored HTTPS by restarting the affected services; sustained stability was not confirmed.</t>
  </si>
  <si>
    <t>Check website availability and logs; record cause and close the ticket if stable.</t>
  </si>
  <si>
    <t>Jerimar Castaneda / Application owner</t>
  </si>
  <si>
    <t>Issue may recur if the underlying cause remains.</t>
  </si>
  <si>
    <t>Escalate only if service or logs show a recurrence.</t>
  </si>
  <si>
    <t>IT daily standup notes provided Sep 27, 2026; meeting date not specified.</t>
  </si>
  <si>
    <t>SBW650 Web Remote Desktop</t>
  </si>
  <si>
    <t>Restore web remote desktop access to computer SBW650.</t>
  </si>
  <si>
    <t>Armin cannot connect. Two agent reinstall attempts did not resolve the issue; Billy offered to troubleshoot.</t>
  </si>
  <si>
    <t>Billy and Armin to check the connection, agent health, and access path; verify a successful session.</t>
  </si>
  <si>
    <t>Armin / Billy Rivas</t>
  </si>
  <si>
    <t>Remote access remains unavailable until the cause is identified.</t>
  </si>
  <si>
    <t>Track the troubleshooting result and escalate if specialist support is needed.</t>
  </si>
  <si>
    <t>Laptop Image to Virtual Machine</t>
  </si>
  <si>
    <t>Move the requested laptop image into a usable virtual machine.</t>
  </si>
  <si>
    <t>Mahan reported work in progress with no blocker; requestor, supporting team, and technical requirements were unclear.</t>
  </si>
  <si>
    <t>Confirm request owner, image source, VM host and acceptance test; complete and validate the migration.</t>
  </si>
  <si>
    <t>Mahan Sasani / request owner (TBD)</t>
  </si>
  <si>
    <t>Unclear scope and ownership could delay validation or handoff.</t>
  </si>
  <si>
    <t>Assign the request owner and agree on acceptance criteria.</t>
  </si>
  <si>
    <t>CW108 ISO Preparation</t>
  </si>
  <si>
    <t>Scope, ownership, and next steps require clarification</t>
  </si>
  <si>
    <t>TBD - after initiative scope and ownership are confirmed</t>
  </si>
  <si>
    <t>Clarify the ISO initiative, its intended standard and scope, accountable owner, deliverables, dependencies, and approved implementation path.</t>
  </si>
  <si>
    <t>The ISO initiative was referenced, but its scope, ownership, current configuration, deliverables, schedule, and relationship to existing compliance priorities are not confirmed.</t>
  </si>
  <si>
    <t>Robert to follow up with Yangyang to confirm the applicable ISO standard, business objective, entities and systems in scope, current work completed, accountable owner, required resources, milestones, dependencies, and next decision.</t>
  </si>
  <si>
    <t>Robert Moreno / Yangyang Yang / Compliance and Security Owners (TBD)</t>
  </si>
  <si>
    <t>An undefined ISO initiative may duplicate SOC 2 or PCI work, consume resources without authorization, or create inconsistent compliance commitments.</t>
  </si>
  <si>
    <t>Require a written scope, owner, priority, and decision record before treating the initiative as active or complete.</t>
  </si>
  <si>
    <t>Infrastructure meeting follow-up, updated 23-Oct-2026 PST.</t>
  </si>
  <si>
    <t>UniFi Optimization Application</t>
  </si>
  <si>
    <t>In development / schedule pending</t>
  </si>
  <si>
    <t>Develop a repeatable tool that recommends appropriate UniFi channel and transmit-power settings.</t>
  </si>
  <si>
    <t>Jerimar is developing the optimization application. The intended outputs are channel and transmit-power recommendations; no delivery or deployment date was provided.</t>
  </si>
  <si>
    <t>Define supported controllers and inputs, validation method, pilot site, change-approval workflow, success criteria, owner, and target date before production use.</t>
  </si>
  <si>
    <t>Jerimar Castaneda / Network Engineering / Mike Wang</t>
  </si>
  <si>
    <t>Recommendations could create interference or instability if source data, guardrails, testing, and rollback are not defined.</t>
  </si>
  <si>
    <t>Confirm scope, target date, pilot site, and validation requirements before operational adoption.</t>
  </si>
  <si>
    <t>Network, Relocation, and Help Desk meeting notes, 2-Oct-2026 PST.</t>
  </si>
  <si>
    <t>Walnut Electrical &amp; Facilities Readiness</t>
  </si>
  <si>
    <t>Power-panel upgrade approved by ITEM and Cubework / vendor start and detailed schedule pending</t>
  </si>
  <si>
    <t>TBD - quoted installation duration is five days after authorized start</t>
  </si>
  <si>
    <t>Deliver approved Walnut electrical, rack, UPS, cooling, and facilities capacity for the validated local server scope.</t>
  </si>
  <si>
    <t>The approximately $12,000 power-panel quote and five-day installation duration were documented. Tom approved the upgrade on 14-Oct, Cubework approval followed on 16-Oct, and Jorge will contact the vendor to start the process. Final start/completion dates are not confirmed. The rack plan still requires reconciliation between an earlier two-rack assumption and a design using one UPS plus four full racks; Stimson UPS and three empty-rack transfer timing is pending.</t>
  </si>
  <si>
    <t>Jorge to obtain the vendor start date and completion plan. Mahan and David to confirm the final placement list, rack count, room fit, cooling, power loads, cabling, transfer schedule for Stimson UPS/racks, outage controls, inspection, and acceptance criteria. Update the approved scope and migration dependencies.</t>
  </si>
  <si>
    <t>Tom Yu / Jorge Reyes / Kuan Goh / Mahan Sasani / David Rodriguez / Stacy Nguyen / Robert Moreno / Cubework / Vendor / Facilities / Network Team</t>
  </si>
  <si>
    <t>Approval does not confirm room fit, final rack count, load capacity, cooling, or execution dates. Delayed facilities work may block the migration.</t>
  </si>
  <si>
    <t>Track the vendor commitment as a critical dependency. Do not install equipment until final rack, load, cooling, and safety validation is signed off.</t>
  </si>
  <si>
    <t>BP Relocation Notes, 13-Oct-2026 PST; LAX Data Center Access and Capacity Assessment email thread, latest 16-Oct-2026 PST; IT Infrastructure Update email, 14-Oct-2026 PST.</t>
  </si>
  <si>
    <t>Site visit and facilities confirmation required / execution dates pending</t>
  </si>
  <si>
    <t>TBD - after Cubework schedule and acceptance</t>
  </si>
  <si>
    <t>Validate Walnut rack, UPS, power-panel, cooling, room, cabling, safety, and recovery readiness for the approved server scope.</t>
  </si>
  <si>
    <t>A site visit is required. Rack relocation, transfer of the Stimson UPS, power-panel preparation, and cooling readiness depend on Cubework. The team must verify rack count and placement, including three empty racks, and obtain completion dates for all outstanding facilities work.</t>
  </si>
  <si>
    <t>Mahan to coordinate with Jorge and Cubework; verify rack count, room fit, power loads, panel work, cooling, UPS arrangements, cabling, access, safety, and remaining work; David to support equipment and transfer planning; document owners, dates, inspection, and acceptance criteria.</t>
  </si>
  <si>
    <t>Mahan Sasani / Jorge Reyes / Cubework / David Rodriguez / Tom Yu / Stacy Nguyen / Facilities / Network Team / Robert Moreno</t>
  </si>
  <si>
    <t>Unverified power, cooling, rack, and UPS readiness is a direct blocker to relocation and may create outage, equipment damage, safety, or recovery risk.</t>
  </si>
  <si>
    <t>Red relocation dependency. Obtain a dated Cubework plan and signed facilities acceptance before installing servers.</t>
  </si>
  <si>
    <t>Alessandro AP Naming &amp; Mapping Backlog</t>
  </si>
  <si>
    <t>Additional AP reported installed / verified map and completed test record pending</t>
  </si>
  <si>
    <t>TBD - after map publication and validation</t>
  </si>
  <si>
    <t>Maintain a verified AP inventory and floor map that supports installation, testing, troubleshooting, and acceptance.</t>
  </si>
  <si>
    <t>David reported installation of an additional rear-area AP and tentative testing on 15-16 Oct. Mahan did not have the updated map and could not verify the completed AP count, site, or test status.</t>
  </si>
  <si>
    <t>David to publish the final map, AP names, locations, completed count, and installation evidence. Mahan to reconcile controller inventory to the map and document RF/device test results, remaining gaps, and acceptance.</t>
  </si>
  <si>
    <t>David Rodriguez / Mahan Sasani / Jerimar Castaneda / Network Engineering / Alessandro Operations</t>
  </si>
  <si>
    <t>An inaccurate map or count can hide missing devices, misdirect troubleshooting, and invalidate survey results.</t>
  </si>
  <si>
    <t>Require controller-to-map reconciliation and documented tests before backlog closure.</t>
  </si>
  <si>
    <t>IT Network Team Meeting Notes, 16-Oct-2026 PST; IT Infrastructure Update email, 14-Oct-2026 PST.</t>
  </si>
  <si>
    <t>Map substantially complete / two Aruba MACs and UniFi identification pending</t>
  </si>
  <si>
    <t>TBD - before coverage testing</t>
  </si>
  <si>
    <t>Publish a verified Alessandro AP inventory and floor map that supports controlled coverage testing, troubleshooting, and acceptance.</t>
  </si>
  <si>
    <t>The map is substantially complete. Two Aruba APs still require MAC details, and the remaining UniFi units need clear identification. The three new U7 Pro APs and Aruba APs are planned to remain online during testing.</t>
  </si>
  <si>
    <t>David to complete AP labels, MACs, names, locations, and the keep-online/test-disable list. Mahan and Jerimar to reconcile controller inventory to the map and attach coverage, client, SSID, VLAN, and rollback test results.</t>
  </si>
  <si>
    <t>Incomplete mapping can cause the wrong APs to be disabled, hide coverage gaps, and invalidate test results.</t>
  </si>
  <si>
    <t>Keep Amber until controller-to-map reconciliation and documented coverage testing are complete.</t>
  </si>
  <si>
    <t>Dynamics GP Support Ownership</t>
  </si>
  <si>
    <t>Documentation ownership requires confirmation</t>
  </si>
  <si>
    <t>TBD - after business and technical ownership review</t>
  </si>
  <si>
    <t>Establish accountable Dynamics GP support and documentation ownership, with current server, application, dependency, access, and escalation records.</t>
  </si>
  <si>
    <t>Dynamics GP documentation ownership remains unconfirmed. The infrastructure discussion also identified the need to ensure server inventory and application records have an accountable maintainer.</t>
  </si>
  <si>
    <t>Confirm the Dynamics GP business owner, technical owner, documentation custodian, server and database inventory, dependencies, access and MFA administration, backup and recovery requirements, and escalation contacts. Publish the approved support path and target completion date.</t>
  </si>
  <si>
    <t>Finance / Help Desk / Yangyang Yang / Infrastructure Team / Application Owner (TBD) / Robert Moreno</t>
  </si>
  <si>
    <t>Unclear ownership can leave documentation stale, delay access restoration, weaken backup and recovery accountability, and cause repeated ticket misrouting.</t>
  </si>
  <si>
    <t>Assign named business and technical owners and a documentation completion date. Do not close the workstream until the support path and authoritative records are published.</t>
  </si>
  <si>
    <t>China Level 2 and 3CX/Twilio Support Coverage</t>
  </si>
  <si>
    <t>Provide a dependable escalation path for unresolved application and telephony incidents across time zones.</t>
  </si>
  <si>
    <t>Help Desk needs confirmation of the China Level 2 schedule and application coverage. Separate tickets report nonworking phone numbers; the fault domain across 3CX, Twilio, or another service is not yet confirmed. Primary contacts have limited availability.</t>
  </si>
  <si>
    <t>Billy to review Stacy's support schedule and confirm contacts and scope. Post the phone-number issue in the existing 3CX/Twilio WeChat group, secure backup support, identify the failing service, and document resolution and escalation steps.</t>
  </si>
  <si>
    <t>Billy Rivas / Stacy Nguyen / Lex Yang / Yangyang Yang / Mel Gutierrez / China Level 2 Support / Help Desk</t>
  </si>
  <si>
    <t>Unclear coverage and limited backup support can delay restoration, leave tickets unowned, and prolong telephony disruption.</t>
  </si>
  <si>
    <t>Confirm primary and backup contacts, coverage hours, supported applications, and the escalation standard.</t>
  </si>
  <si>
    <t>Charleston Circuit Transition - 1701 / 1301</t>
  </si>
  <si>
    <t>1701 network restored; CCTV validation and 1301 service decision pending</t>
  </si>
  <si>
    <t>2026-11-01 for 1301 disconnect unless business need requires approved extension</t>
  </si>
  <si>
    <t>Complete the 1701 transition and retire 1301 service without disrupting network, CCTV, or remaining operations.</t>
  </si>
  <si>
    <t>Jerimar corrected the 1701 CCTV VLAN and reported the network working. Camera/NVR validation remains open. The 1301 circuit is scheduled to disconnect 1-Nov and is month-to-month; Jerimar reported the site offline since 14-Oct and believes Operations moved, but business need and any extension decision are unverified. Physical decommission was reported complete.</t>
  </si>
  <si>
    <t>David and Jerimar to validate 1701 camera/NVR operation and close remaining items. Verify with Operations whether 1301 has any continuing dependency; if none, confirm disconnect and return equipment; if needed, obtain an approved month-to-month extension before 1-Nov.</t>
  </si>
  <si>
    <t>David Rodriguez / Jerimar Castaneda / Erik Solis / Charleston Operations / Network Engineering / Carrier / Robert Moreno</t>
  </si>
  <si>
    <t>Unverified CCTV or an incorrect 1301 service assumption could cause monitoring loss, service interruption, or unnecessary recurring cost.</t>
  </si>
  <si>
    <t>Obtain Operations confirmation and carrier evidence before the 1-Nov disconnect; keep 1701 open until camera/NVR acceptance.</t>
  </si>
  <si>
    <t>6200 St. Johns MPOE Relocation</t>
  </si>
  <si>
    <t>Carrier ready / onsite assignment and date pending</t>
  </si>
  <si>
    <t>TBD - after David/Huy dispatch and acceptance</t>
  </si>
  <si>
    <t>Complete the MPOE relocation and validate production connectivity at St. Johns.</t>
  </si>
  <si>
    <t>Carrier readiness is understood, but the required onsite visit, assigned technician, date, and acceptance record were not confirmed. David or Huy is expected to support the work.</t>
  </si>
  <si>
    <t>Assign David or Huy; confirm access and carrier window; complete cabling and cutover; validate routing, firewall, Wi-Fi, applications, failover, and user acceptance; document closure.</t>
  </si>
  <si>
    <t>David Rodriguez / Huy / Erik Solis / Network Engineering / St. Johns Operations / Carrier</t>
  </si>
  <si>
    <t>An unassigned onsite visit may delay cutover and prolong recurring or temporary-service cost.</t>
  </si>
  <si>
    <t>Set a dated field-work commitment and carrier escalation path.</t>
  </si>
  <si>
    <t>ISP Notes, 16-Oct-2026 PST.</t>
  </si>
  <si>
    <t>1228 Cornerway San Antonio Circuit Cutover</t>
  </si>
  <si>
    <t>Circuit installed / onsite assignment and cutover date pending</t>
  </si>
  <si>
    <t>Cut over the installed circuit and validate production service at Cornerway.</t>
  </si>
  <si>
    <t>The circuit is installed, but the required onsite visit, technician assignment, cutover date, and acceptance evidence remain open. David or Huy is expected to support the work.</t>
  </si>
  <si>
    <t>Assign David or Huy; confirm site access and carrier support; complete physical cutover; test routing, firewall, Wi-Fi, applications, performance, failover, and user experience; document acceptance and retire superseded service.</t>
  </si>
  <si>
    <t>David Rodriguez / Huy / Erik Solis / Network Engineering / Cornerway Operations / Carrier</t>
  </si>
  <si>
    <t>Delayed onsite work may postpone service use and extend duplicate billing.</t>
  </si>
  <si>
    <t>Confirm the field date and do not retire old service before validated acceptance.</t>
  </si>
  <si>
    <t>Production Avenue Fontana ETF &amp; Billing Recovery</t>
  </si>
  <si>
    <t>Billing dispute ongoing / escalation remains open</t>
  </si>
  <si>
    <t>TBD - after written credit and final invoice reconciliation</t>
  </si>
  <si>
    <t>Recover improper charges and close the disconnected Production Avenue service with accurate billing evidence.</t>
  </si>
  <si>
    <t>The AT&amp;T billing dispute remains open and escalated. No written resolution, credit amount, or final reconciled invoice was provided.</t>
  </si>
  <si>
    <t>Maintain escalation; obtain written carrier findings and credit commitment; reconcile final invoices with Accounting; retain disconnect and adjustment evidence; close only after the ledger is corrected.</t>
  </si>
  <si>
    <t>Erik Solis / Robert Moreno / Accounting / AT&amp;T / Site Owner</t>
  </si>
  <si>
    <t>Unresolved charges may continue or be paid incorrectly; incomplete evidence may weaken recovery.</t>
  </si>
  <si>
    <t>AP should hold disputed amounts under approved process until carrier and Accounting reconciliation is complete.</t>
  </si>
  <si>
    <t>Torrance Circuit Relocation &amp; Equipment Return</t>
  </si>
  <si>
    <t>Equipment removed / transfer and return pending</t>
  </si>
  <si>
    <t>Relocate the Torrance dedicated circuit to Charleston, avoid termination fees, and complete equipment return obligations.</t>
  </si>
  <si>
    <t>Dedicated-fiber equipment was removed from 20100 Western Avenue. The replacement circuit is planned for 1701 Charleston, with the ETF expected to be waived. David still needs to return the AT&amp;T 1 Gbps shared-fiber modem through an accepted return channel.</t>
  </si>
  <si>
    <t>Confirm the dedicated-circuit transfer order, ETF waiver, and Charleston linkage; return the shared modem and retain the receipt; disconnect Torrance service; and validate final billing and asset closure.</t>
  </si>
  <si>
    <t>David Rodriguez / Erik Solis / Robert Moreno / AT&amp;T / Accounting</t>
  </si>
  <si>
    <t>An incomplete transfer or missing return receipt may trigger termination or equipment charges and delay site closure.</t>
  </si>
  <si>
    <t>Require written ETF waiver, accepted equipment-return proof, and final invoice reconciliation.</t>
  </si>
  <si>
    <t>Erik Solis carrier update, 4-Oct-2026 PST.</t>
  </si>
  <si>
    <t>Suffolk Verizon Circuit Relocation</t>
  </si>
  <si>
    <t>Site vacated / replacement location pending</t>
  </si>
  <si>
    <t>Relocate the in-term Verizon circuit from 245 Benton Road and avoid an early termination penalty.</t>
  </si>
  <si>
    <t>The Suffolk site is vacated. The Verizon circuit remains under contract until June 2027, and a suitable replacement location has not been selected.</t>
  </si>
  <si>
    <t>Identify candidate sites and technical requirements; confirm transfer eligibility, cost, lead time, and contract treatment with Verizon; obtain approval; and execute the relocation or approved alternative.</t>
  </si>
  <si>
    <t>Erik Solis / Robert Moreno / David Rodriguez / Network Engineering / Verizon</t>
  </si>
  <si>
    <t>No destination is confirmed. Continued billing or an early termination penalty may be incurred while the circuit remains unused.</t>
  </si>
  <si>
    <t>Select a replacement site or approve the lowest-cost contractual alternative before avoidable charges accumulate.</t>
  </si>
  <si>
    <t>Norcross AT&amp;T Disconnect &amp; Billing Dispute</t>
  </si>
  <si>
    <t>Carrier contact unresponsive / Robert follow-up required</t>
  </si>
  <si>
    <t>TBD - after carrier response, disconnect confirmation, and billing reconciliation</t>
  </si>
  <si>
    <t>Complete the Norcross circuit disconnect and resolve related charges with written carrier evidence.</t>
  </si>
  <si>
    <t>The 1600 Indian Brook record references an unclear carrier/service term and the contact remains unresponsive. Robert is to follow up. Address and service-record verification remain necessary.</t>
  </si>
  <si>
    <t>Verify the exact site address, circuit, account, and carrier reference; escalate to an alternate carrier contact; confirm disconnect effective date, equipment return, ETF position, and final invoice; reconcile with Accounting.</t>
  </si>
  <si>
    <t>Robert Moreno / Erik Solis / Accounting / AT&amp;T / Norcross Operations</t>
  </si>
  <si>
    <t>Unresponsive contacts and ambiguous service records may extend billing or lead to action on the wrong circuit.</t>
  </si>
  <si>
    <t>Escalate through the carrier hierarchy and require record validation before financial or disconnect closure.</t>
  </si>
  <si>
    <t>Douglasville AT&amp;T Modem Return</t>
  </si>
  <si>
    <t>Modem reportedly at LaGrange / onsite transfer and UPS return evidence pending</t>
  </si>
  <si>
    <t>TBD - after field pickup, shipment, and carrier acceptance</t>
  </si>
  <si>
    <t>Return the disconnected-site equipment and eliminate non-return exposure with auditable shipping evidence.</t>
  </si>
  <si>
    <t>The modem associated with the Douglasville service was reportedly moved to LaGrange. The onsite technician is expected to take it for UPS return, but assignment, pickup, label, tracking, and carrier acceptance are not documented.</t>
  </si>
  <si>
    <t>Confirm the modem serial and current location; assign the onsite technician; obtain the return label; ship via UPS; retain tracking and delivery proof; confirm carrier receipt and final billing.</t>
  </si>
  <si>
    <t>David Rodriguez / Huy / Erik Solis / LaGrange Operations / AT&amp;T / Robert Moreno</t>
  </si>
  <si>
    <t>Misidentified or untracked equipment may trigger a non-return fee or leave the wrong asset onsite.</t>
  </si>
  <si>
    <t>Require serial-number reconciliation and tracking before closure.</t>
  </si>
  <si>
    <t>Goodyear Cox Disconnect</t>
  </si>
  <si>
    <t>Disconnect processing ongoing / effective date and final invoice pending</t>
  </si>
  <si>
    <t>TBD - after Cox confirmation and billing closure</t>
  </si>
  <si>
    <t>Complete the Cox disconnect and close equipment and billing obligations.</t>
  </si>
  <si>
    <t>The Goodyear disconnect remains in progress. No confirmed effective date, equipment-return status, or final invoice was provided.</t>
  </si>
  <si>
    <t>Obtain the Cox order and effective date; confirm equipment disposition; retain carrier confirmation; reconcile the final invoice and recurring-charge stop with Accounting.</t>
  </si>
  <si>
    <t>Stacy Nguyen / David Rodriguez / Erik Solis / Cox / Accounting / Goodyear Operations</t>
  </si>
  <si>
    <t>Carrier processing delay or missing equipment evidence may extend charges or create non-return fees.</t>
  </si>
  <si>
    <t>Track through written disconnect acceptance and final-bill reconciliation.</t>
  </si>
  <si>
    <t>Greenwood Circuit Decommission Planning</t>
  </si>
  <si>
    <t>Disconnect approval pending</t>
  </si>
  <si>
    <t>Plan the AT&amp;T shared-fiber disconnect for 650 Commerce Parkway in line with the facility decommission schedule.</t>
  </si>
  <si>
    <t>David expects the Greenwood site to decommission within the next few months. The AT&amp;T shared-fiber service is month-to-month with no applicable early termination fee.</t>
  </si>
  <si>
    <t>Confirm the facility move-out date and business dependency; obtain disconnect approval; schedule service termination and equipment return; and verify final billing.</t>
  </si>
  <si>
    <t>David Rodriguez / Robert Moreno / Erik Solis / Greenwood Operations / AT&amp;T</t>
  </si>
  <si>
    <t>An undefined facility date may cause premature disconnection or unnecessary recurring cost.</t>
  </si>
  <si>
    <t>Confirm the decommission date and approve a disconnect date aligned with operational closure.</t>
  </si>
  <si>
    <t>Analog POTS Line Review</t>
  </si>
  <si>
    <t>Inventory review pending</t>
  </si>
  <si>
    <t>Identify legacy analog lines, carrier decommission exposure, and opportunities to eliminate or replace unnecessary POTS services.</t>
  </si>
  <si>
    <t>A full location review is pending. No AT&amp;T POTS lines have been identified in the areas reviewed so far.</t>
  </si>
  <si>
    <t>Complete the carrier and site inventory; identify line purpose, owner, monthly cost, and decommission date; validate life-safety or operational dependencies; and propose approved replacement or cancellation actions.</t>
  </si>
  <si>
    <t>Erik Solis / Robert Moreno / Network Engineering / Facilities / Site Operations / Carriers</t>
  </si>
  <si>
    <t>Incomplete inventory may miss life-safety dependencies, carrier retirement deadlines, or avoidable recurring charges.</t>
  </si>
  <si>
    <t>Require a validated inventory and business-owner approval before any analog-line cancellation.</t>
  </si>
  <si>
    <t>LAX Data Center Server Hosting Assessment</t>
  </si>
  <si>
    <t>Site assessment and expansion/pricing validation pending / one rack reported available</t>
  </si>
  <si>
    <t>2026-10-09</t>
  </si>
  <si>
    <t>TBD - before migration and procurement approval</t>
  </si>
  <si>
    <t>Determine whether LAX can host the approved Buena Park workloads with sufficient rack, power, cooling, connectivity, access, support, expansion, and commercial terms.</t>
  </si>
  <si>
    <t>Mahan reported one rack currently available, while meeting notes cite unverified usable estimates of 10U, 12U, 20U, or half-rack capacity. Existing capacity appears insufficient for all candidate servers. An onsite visit and complete capacity/pricing assessment were not confirmed. Cubework and ITEM approvals for the separate Walnut power-panel work are complete.</t>
  </si>
  <si>
    <t>Schedule Mahan’s onsite visit; open/track M-Theory access; measure usable rack units and physical fit; validate power circuits, UPS, cooling, network, firewall/routing, access, support, migration lead times, expansion options, pricing, contract terms, and required resources. Compare results to the approved workload inventory and present a recommendation.</t>
  </si>
  <si>
    <t>Mahan Sasani / Robert Moreno / Tom Yu / Stacy Nguyen / Network Engineering / Server Owners / M-Theory / LAX Data Center Owner</t>
  </si>
  <si>
    <t>Conflicting capacity estimates, inadequate space, unclear pricing, or insufficient power/cooling/connectivity could invalidate the proposed hosting model and delay relocation.</t>
  </si>
  <si>
    <t>Treat the onsite capacity assessment as a critical decision gate. Do not procure or schedule migration until measured capacity and commercial terms are approved.</t>
  </si>
  <si>
    <t>Proposed IT Hyper-V and storage destination / onsite capacity and cost decision pending</t>
  </si>
  <si>
    <t>TBD - before placement approval</t>
  </si>
  <si>
    <t>Determine whether LAX can host the IT Hyper-V server, two storage units, and any approved Stimson workloads with sufficient capacity, resilience, support, and acceptable cost.</t>
  </si>
  <si>
    <t>LAX is the proposed destination for the IT Hyper-V host and two storage units, but final placement is open. The assessment must include rack requirements, usable space, power, cooling, connectivity, access, support, recovery capability, expansion options, contract terms, costs, and any Stimson consolidation.</t>
  </si>
  <si>
    <t>Confirm Mahan’s onsite visit; measure rack and equipment fit; validate circuits, UPS, cooling, network, cross-connects, firewall/routing, access, support, recovery, expansion, pricing, and lead times; compare findings with the workload inventory and present a management recommendation.</t>
  </si>
  <si>
    <t>Mahan Sasani / Robert Moreno / Tom Yu / Stacy Nguyen / M-Theory / Network Engineering / Server Owners / Facilities</t>
  </si>
  <si>
    <t>Unverified capacity, cost, power, cooling, access, or support could invalidate the proposed placement and delay the Buena Park relocation.</t>
  </si>
  <si>
    <t>Red decision gate. Do not approve placement or migration until measured capacity, recovery requirements, and commercial terms are documented.</t>
  </si>
  <si>
    <t>Relocation Network Pre-Staging &amp; Application Validation</t>
  </si>
  <si>
    <t>Pre-staging concept approved in principle / final destinations and capacity evidence pending</t>
  </si>
  <si>
    <t>TBD - aligned to approved Walnut and LAX readiness dates</t>
  </si>
  <si>
    <t>Preconfigure and validate target network, compute, storage, security, and application connectivity before relocation to minimize downtime and rollback risk.</t>
  </si>
  <si>
    <t>Switch pre-staging is supported, but final placement, Hyper-V capacity, TrueNAS dependencies, LAX capacity, Walnut rack/power/cooling, five mini-PC owners, and migration sequence remain unresolved. No controlled test or rollback evidence has been documented.</t>
  </si>
  <si>
    <t>After destination approval, pre-stage switches, VLANs, routing, IPs, firewall rules, storage paths, monitoring, backups, and access. Validate domain, application, database, file, CCTV, VPN, and Accounting connectivity; define outage windows, sequence, rollback, acceptance, and ownership; rehearse high-risk moves.</t>
  </si>
  <si>
    <t>Mahan Sasani / David Rodriguez / Yangyang Yang / Network Engineering / Server and Application Owners / Security / Backup / Robert Moreno</t>
  </si>
  <si>
    <t>Pre-staging against an unapproved or under-sized destination can cause rework. Missing dependency and rollback tests may extend downtime or cause data loss.</t>
  </si>
  <si>
    <t>Authorize build only after destination and capacity gates; require evidence-based technical and business acceptance before each cutover.</t>
  </si>
  <si>
    <t>BP Relocation Notes, 13-Oct-2026 PST; IT Network Team Meeting Notes, 16-Oct-2026 PST; IT Infrastructure Update email, 14-Oct-2026 PST.</t>
  </si>
  <si>
    <t>Design pending destination decision / migration controls not yet approved</t>
  </si>
  <si>
    <t>TBD - after Walnut and LAX readiness approval</t>
  </si>
  <si>
    <t>Preconfigure and validate target infrastructure and applications so the Buena Park relocation has controlled downtime and a tested rollback path.</t>
  </si>
  <si>
    <t>Final server destinations and facilities readiness remain unresolved, so migration sequencing, downtime, backups, rollback, and validation cannot be finalized. Pre-staging remains dependent on the approved Walnut and LAX designs.</t>
  </si>
  <si>
    <t>After placement approval, pre-stage network, compute, storage, security, monitoring, backup, and access; validate application, database, file, domain, CCTV, VPN, and Accounting dependencies; conduct readiness reviews; approve outage windows, rollback, acceptance criteria, and owner coverage.</t>
  </si>
  <si>
    <t>Mahan Sasani / David Rodriguez / Yangyang Yang / Robert Moreno / Network Engineering / Server and Application Owners / Security / Backup</t>
  </si>
  <si>
    <t>Building against an unapproved destination creates rework. Untested dependencies and rollback may extend downtime or cause data loss.</t>
  </si>
  <si>
    <t>Red until placement and facilities gates are approved. Require technical and business acceptance before each cutover.</t>
  </si>
  <si>
    <t>Heacock Wireless Bridges &amp; Camera Network Readiness</t>
  </si>
  <si>
    <t>Two bridges installed / end-to-end validation pending</t>
  </si>
  <si>
    <t>TBD - after camera and YMS acceptance</t>
  </si>
  <si>
    <t>Provide reliable bridge connectivity for yard cameras, the guard shack, and the Cubework-side YMS gate.</t>
  </si>
  <si>
    <t>Two wireless bridges were reported added. Final endpoint inventory, signal quality, VLAN/IP configuration, camera streams, YMS connectivity, monitoring, and Operations acceptance are not yet documented.</t>
  </si>
  <si>
    <t>David and Marco’s team to verify endpoints, line of sight, power, signal, VLANs, IPs, bandwidth, camera streams, YMS transactions, monitoring, failover behavior, documentation, and acceptance date.</t>
  </si>
  <si>
    <t>David Rodriguez / Marco and Team / Mahan Sasani / Camera and AI Team / Network Engineering / Heacock Operations</t>
  </si>
  <si>
    <t>Installation without end-to-end testing may leave unstable video, gate, or guard-shack connectivity and unclear support ownership.</t>
  </si>
  <si>
    <t>Keep Amber until validation evidence and Operations acceptance are recorded.</t>
  </si>
  <si>
    <t>175 Cesanek Site Decommission</t>
  </si>
  <si>
    <t>Decommission complete / return shipment and receipt pending</t>
  </si>
  <si>
    <t>TBD - estimated end of following week for BP receipt</t>
  </si>
  <si>
    <t>Close the 175 Cesanek infrastructure decommission with complete asset return, carrier, billing, documentation, and receipt evidence.</t>
  </si>
  <si>
    <t>Physical decommissioning is complete and equipment is returning to Buena Park. Shipment tracking, confirmed delivery date, equipment receipt, inventory reconciliation, carrier returns, and final billing closure remain open.</t>
  </si>
  <si>
    <t>Confirm tracking and delivery date; receive and inspect equipment; reconcile serials and condition; update the asset tracker; close carrier-return and billing obligations; retain Operations acceptance and closure evidence.</t>
  </si>
  <si>
    <t>David Rodriguez / Buena Park Receiving / Network Engineering / Facilities / Site Operations / Carrier Teams / Robert Moreno</t>
  </si>
  <si>
    <t>Untracked or unreconciled equipment may be lost, damaged, or charged as unreturned; incomplete billing closure may extend recurring cost.</t>
  </si>
  <si>
    <t>Close only after shipment receipt, inventory, carrier, and billing evidence are complete.</t>
  </si>
  <si>
    <t>Mail Server Vulnerability &amp; Disposition</t>
  </si>
  <si>
    <t>Reuse blocked / owner and replacement plan pending</t>
  </si>
  <si>
    <t>Resolve the vulnerable mail-server condition and approve a safe disposition, replacement, or migration plan.</t>
  </si>
  <si>
    <t>Yangyang reportedly advised that the mail server cannot be reused because of vulnerabilities. The server, affected services, technical owner, business dependencies, evidence, and disposition plan were not identified.</t>
  </si>
  <si>
    <t>Assign the technical and business owners; identify the server and dependent mail services; document the vulnerabilities and exposure; confirm backups and retention needs; isolate or restrict access as required; define migration, replacement, rebuild, or retirement; test the chosen solution and document disposal.</t>
  </si>
  <si>
    <t>Mike Wang / Yangyang Yang / Email and Infrastructure Owners / Security Team / Robert Moreno</t>
  </si>
  <si>
    <t>Reusing a vulnerable system could create security exposure. Retiring it without dependency and retention analysis could interrupt mail services or lose required data.</t>
  </si>
  <si>
    <t>Assign an owner immediately and approve the security containment and disposition path before reuse or shutdown.</t>
  </si>
  <si>
    <t>IT Network Team Meeting Notes, 09-Oct-2026 PST.</t>
  </si>
  <si>
    <t>remote.unisco.com Configuration Investigation</t>
  </si>
  <si>
    <t>Investigation required / change source unknown</t>
  </si>
  <si>
    <t>Determine what changed on remote.unisco.com, restore the required configuration safely, and prevent undocumented changes.</t>
  </si>
  <si>
    <t>Missing configuration was reported. No meeting participant confirmed restarting, restoring, or modifying the server. The change timeline, affected configuration, user impact, logs, backups, and owner remain unknown.</t>
  </si>
  <si>
    <t>Assign an incident owner; preserve and review system, authentication, change, deployment, and backup logs; establish the last-known-good state and timeline; identify affected services and users; validate backups; restore through approved change control; test functionality; document root cause and preventive actions.</t>
  </si>
  <si>
    <t>Mike Wang / Server Owner (TBD) / Infrastructure Team / Security Team / Yangyang Yang / Robert Moreno</t>
  </si>
  <si>
    <t>The unknown change source may indicate configuration drift, an undocumented restoration, operational error, or unauthorized activity. Uncontrolled restoration could overwrite evidence or worsen the outage.</t>
  </si>
  <si>
    <t>Treat as an infrastructure and security investigation. Preserve evidence and require approved recovery and post-change validation.</t>
  </si>
  <si>
    <t>Customer Support Outage Contingency &amp; DR Readiness</t>
  </si>
  <si>
    <t>Decision sheet and working session pending / controls unvalidated</t>
  </si>
  <si>
    <t>TBD - after decision approval and tabletop exercise</t>
  </si>
  <si>
    <t>Finalize and validate a practical customer-support continuity plan for ticketing-only, Microsoft 365-only, and combined outages, with reliable intake, communications, ownership, and reconciliation.</t>
  </si>
  <si>
    <t>The plan is not final. Billy must validate designated-agent access to the shared mailbox, 1Password, authentication, and customer email. Telephony routing, voicemail retrieval independent of email, staffing, after-hours coverage, and whether the 3CX limit of 64 simultaneous calls can support outage demand remain open. Lex must assess fallback channels and how delayed messages are entered after restoration. The 800 number is the minimum fallback intake channel. Ticketing relies primarily on Unisco shared mailboxes, so an M365 outage disrupts ticketing email even if the application remains available. MDaemon or another independent email platform remains an evaluation item only.</t>
  </si>
  <si>
    <t>Robert to schedule the decision working session. Billy to complete mailbox and authentication tests and confirm phone routing, direct voicemail retrieval, normal and outage call peaks, and 3CX capacity. Lex to document fallback behavior for each outage scenario. Operations to name the plan owner, primary and backup incident leads, staffing and after-hours coverage, request assignment, shift handover, customer-communication owner, manual request log, and reconciliation process for delayed email, temporary records, duplicates, and restored tickets. Update the plan after decisions and conduct a tabletop exercise; do not change production systems during the tabletop.</t>
  </si>
  <si>
    <t>Robert Moreno / Billy Rivas / Lex Yang / Mike Wang / Yangyang Yang / Mel Gutierrez / Mary / Patrick / Gemar / Customer Support Operations / Help Desk / 3CX and Telephony Owner</t>
  </si>
  <si>
    <t>M365 dependency may disable ticketing email and voicemail delivery; untested mailbox access or authentication could block agents; the 64-call limit may be insufficient; fallback requests may be lost or duplicated; unclear staffing, handover, and ownership could extend customer impact.</t>
  </si>
  <si>
    <t>High-priority management decision required. Confirm technical and operational owners, approve fallback channels and access, validate telephony capacity, require a controlled manual log and reconciliation procedure, and approve the plan only after evidence-based tabletop completion.</t>
  </si>
  <si>
    <t>Attached email thread: Gentle Follow Up Request for Disaster Recovery and Contingency Plan / Customer Support Outage Contingency Plan; latest status reviewed 12-Oct-2026.</t>
  </si>
  <si>
    <t>External Teams Meeting Invitation Workflow</t>
  </si>
  <si>
    <t>Testing complete / PH-HR approval and controlled implementation pending</t>
  </si>
  <si>
    <t>TBD - after HR approval, configuration, and business validation</t>
  </si>
  <si>
    <t>Enable authorized employees to send external Microsoft Teams meeting invitations through a controlled, auditable workflow without weakening normal external-email restrictions.</t>
  </si>
  <si>
    <t>Relevant testing is complete, but implementation is not. PH-HR must confirm whether personal @unis.co mailboxes may send external Teams invitations and whether permission applies to all users or designated accounts. Until approval, agents should create meetings with individual Outlook accounts, send the meeting link and passcode through the ticketing system, and keep updates and cancellations in the same ticket. A permanent process for organizer account, sending address, access, shared-mailbox use if applicable, ticket capture, and backup coverage remains undefined.</t>
  </si>
  <si>
    <t>Billy to coordinate and document PH-HR approval and the approved user or account scope. Yangyang to configure only that scope after approval and preserve normal external-email restrictions. Yangyang and Jin or Gemar to test the complete workflow: invitation delivery, customer response, meeting join, updates, cancellations, ticket evidence, and organizer-unavailability coverage. Lex and operations to document the permanent process, ownership, access, shared-mailbox option, ticket capture, and backup organizer.</t>
  </si>
  <si>
    <t>Yangyang Yang / Billy Rivas / Lex Yang / Jin / Gemar / Mike Wang / Armin / Cris / PH-HR / Customer Support Operations</t>
  </si>
  <si>
    <t>Overbroad permissions could bypass external-email controls; approval ambiguity could create inconsistent access; organizer dependency or incomplete ticket capture could disrupt customer meetings and weaken auditability; configuration changes before approval could violate HR or security expectations.</t>
  </si>
  <si>
    <t>Maintain Amber status and the documented workaround. Do not enable permissions before written PH-HR approval. Restrict configuration to the approved scope and require successful business validation plus documented operating ownership before production sign-off.</t>
  </si>
  <si>
    <t>Attached email thread: MS Teams Meeting Invites to External Customers; latest status reviewed 12-Oct-2026.</t>
  </si>
  <si>
    <t>Hyper-V Capacity, VM Inventory &amp; Legacy Host Remediation</t>
  </si>
  <si>
    <t>Assessment in progress / utilization, offline-VM disposition, and legacy-host migration decision pending</t>
  </si>
  <si>
    <t>2026-10-16</t>
  </si>
  <si>
    <t>TBD - before BP migration or legacy-host workload move</t>
  </si>
  <si>
    <t>Establish measured Hyper-V capacity and a safe remediation plan for saturated hosts, offline VMs, and the legacy server with BIOS errors.</t>
  </si>
  <si>
    <t>A LAX Hyper-V host experienced CPU saturation that affected the UniFi VM interface; allocations were adjusted, but the bottleneck and change details are not documented. A legacy server shows BIOS errors before Windows. Moving workloads to a host referred to as A4 is proposed but the destination name, capacity, workload scope, timing, and impact are unconfirmed.</t>
  </si>
  <si>
    <t>Yangyang to lead the host/VM inventory with Mahan support: capture current and peak CPU, memory, storage, placements, criticality, growth, and BP migration demand. Document the allocation changes and root cause. Assign owners and disposition for offline VMs. Capture BIOS errors and hardware/storage logs; verify backups and target-host capacity; approve reservations, dedicated-host needs, and a controlled workload migration with rollback.</t>
  </si>
  <si>
    <t>Yangyang Yang / Mahan Sasani / Robert Moreno / Network Support / Infrastructure / Application Owners / Backup Team</t>
  </si>
  <si>
    <t>CPU saturation can impair critical management services. BIOS faults and an unverified target host create outage and data-loss risk; offline VMs may have unknown retention or business dependencies.</t>
  </si>
  <si>
    <t>Red until critical workload capacity and legacy-host risk are contained. Require measured peak-capacity evidence, backup validation, approved target host, migration plan, and post-change testing before relocation.</t>
  </si>
  <si>
    <t>IT Network Team Meeting Notes, 16-Oct-2026 PST; BP Relocation Notes, 13-Oct-2026 PST.</t>
  </si>
  <si>
    <t>Interim readiness and inventory validation pending / broader transition deferred</t>
  </si>
  <si>
    <t>TBD - before relocation and legacy workload move</t>
  </si>
  <si>
    <t>Validate current Hyper-V capacity, ownership, backups, recovery, and legacy-host risk before relocation and define the later transition program.</t>
  </si>
  <si>
    <t>A broader Hyper-V transition is planned for discussion after relocation. Before any move, the team must verify interim backup and recovery readiness, host and VM inventory, capacity, critical workloads, offline-VM disposition, and the impact of the unresolved Supermicro issue.</t>
  </si>
  <si>
    <t>Yangyang and Mahan to complete measured host/VM/storage inventory; identify owners and dependencies; verify current and peak capacity; validate backups and restores; define interim safeguards; approve placement and workload movement; document the later transition scope and owner.</t>
  </si>
  <si>
    <t>Yangyang Yang / Mahan Sasani / Robert Moreno / Infrastructure / Application Owners / Backup Team</t>
  </si>
  <si>
    <t>Deferring the broader transition without interim controls may expose critical workloads to capacity, hardware, backup, and recovery failures during relocation.</t>
  </si>
  <si>
    <t>Maintain Red until critical workload capacity, backup, restore, target placement, and legacy-host risks are controlled.</t>
  </si>
  <si>
    <t>Stimson Supermicro Server, DNS &amp; VPN Health Validation</t>
  </si>
  <si>
    <t>Operational / underlying hardware issue and recovery readiness unresolved</t>
  </si>
  <si>
    <t>TBD - after root-cause and recovery validation</t>
  </si>
  <si>
    <t>Validate the operational Supermicro system and dependent services, contain hardware risk, and approve interim measures before relocation.</t>
  </si>
  <si>
    <t>The Supermicro server is operational, but the underlying issue remains unresolved. Interim readiness must include hardware and storage diagnostics, VM health, backups, restore capability, DNS and domain services, VPN access, and a recommendation on whether workloads should move.</t>
  </si>
  <si>
    <t>Mahan to capture BIOS and onsite evidence. Mahan, Yangyang, Billy, and Jerimar to validate hardware and storage logs, VM health, backups and restore, domain-controller replication, VPN and temporary accounts; define interim controls and an approved workload-move recommendation.</t>
  </si>
  <si>
    <t>Mahan Sasani / Yangyang Yang / Billy Rivas / Jerimar Castaneda / Armin Guevarra / Robert Moreno</t>
  </si>
  <si>
    <t>Service may fail again if the hardware fault, storage condition, backup, identity, or recovery gaps remain unresolved.</t>
  </si>
  <si>
    <t>Maintain Red until root cause or risk containment, recovery evidence, and the hosting recommendation are approved.</t>
  </si>
  <si>
    <t>Sparks IDF 1 Outage - 250 Vista Boulevard</t>
  </si>
  <si>
    <t>2026-10-23</t>
  </si>
  <si>
    <t>TBD - pending onsite response, power checks, and diagnosis</t>
  </si>
  <si>
    <t>Restore Sparks IDF 1 safely, confirm the failure domain, and document corrective actions that prevent recurrence.</t>
  </si>
  <si>
    <t>IDF 1 at 250 Vista Boulevard, Sparks, Nevada remains offline. A power issue is suspected but has not been confirmed. The onsite contact had not responded, so equipment and electrical checks could not be completed.</t>
  </si>
  <si>
    <t>Jerimar to continue follow-up with the onsite contact; verify site power, breaker and outlet condition, UPS status, switch and power-supply indicators, uplink, cabling, and equipment health; engage Facilities or an electrician if an electrical issue is confirmed; document restoration and monitoring evidence.</t>
  </si>
  <si>
    <t>Jerimar Castaneda / Sparks Onsite Contact / Facilities or Electrician (if required) / Network Team / Robert Moreno</t>
  </si>
  <si>
    <t>The active outage has no confirmed root cause or restoration ETA. Delayed onsite access may extend downtime. Re-energizing equipment without validating electrical conditions could damage infrastructure or create safety risk.</t>
  </si>
  <si>
    <t>Red and leadership-visible until onsite access, diagnosis, restoration, and root-cause documentation are complete. Escalate the onsite-response delay and coordinate with Facilities when power issues are identified.</t>
  </si>
  <si>
    <t>City Park Loop Service Recovery and Root-Cause Review</t>
  </si>
  <si>
    <t>Service restored / root cause and assessment pending</t>
  </si>
  <si>
    <t>TBD - after equipment identification, assessment, and monitoring review</t>
  </si>
  <si>
    <t>Confirm stable City Park Loop service and close the incident with an evidence-based root cause, equipment record, and preventive actions.</t>
  </si>
  <si>
    <t>Service was restored after a second USG reboot. The affected equipment and underlying cause remain unconfirmed, and it is not yet clear whether an IT assessment or Facilities support is required.</t>
  </si>
  <si>
    <t>Jerimar to identify the affected equipment, document the reboot sequence and service recovery, review logs and power conditions, monitor for recurrence, and determine whether an IT assessment and Facilities support are needed. Close the ticket only after findings and monitoring results are recorded.</t>
  </si>
  <si>
    <t>Jerimar Castaneda / City Park Loop Onsite Contact / Network Team / Facilities (if required) / Robert Moreno</t>
  </si>
  <si>
    <t>A reboot may restore service without correcting the underlying problem. An unresolved power, device, or configuration issue could cause another outage.</t>
  </si>
  <si>
    <t>Maintain Amber until the root cause or most probable cause is documented, monitoring remains stable, and preventive actions and ownership are confirmed.</t>
  </si>
  <si>
    <t>Roanoke Intermittent Device Delay - Ticket 26017</t>
  </si>
  <si>
    <t>Internet checks satisfactory / intermittent device and possible voice issue under monitoring</t>
  </si>
  <si>
    <t>TBD - pending user feedback and further diagnosis</t>
  </si>
  <si>
    <t>Identify and resolve intermittent Roanoke device delays while separating internet, local network, endpoint, and voice-system causes.</t>
  </si>
  <si>
    <t>Basic internet checks were satisfactory. Jessica Herrera reported intermittent device delays, and a voice-system issue is suspected. Resolution has not been confirmed.</t>
  </si>
  <si>
    <t>Jessica to monitor and record recurrence time, affected devices, applications, and symptoms. Mahan to review the findings, correlate network and voice logs, reproduce the issue if possible, and involve the voice team when evidence indicates a telephony fault.</t>
  </si>
  <si>
    <t>Jessica Herrera / Mahan Sasani / Voice Team / Network Team / Roanoke Operations / Robert Moreno</t>
  </si>
  <si>
    <t>Intermittent symptoms may not appear during basic checks. Without timestamped evidence, the issue may be misclassified or remain unresolved across network, endpoint, and voice teams.</t>
  </si>
  <si>
    <t>Keep Ticket 26017 open until recurrence evidence is reviewed or a stable monitoring period confirms resolution. Assign the voice team promptly if findings support that path.</t>
  </si>
  <si>
    <t>Infrastructure meeting follow-up, updated 23-Oct-2026 PST; Ticket 26017.</t>
  </si>
  <si>
    <t>Roanoke Intermittent Connectivity and Device Delay - Ticket 26017</t>
  </si>
  <si>
    <t>Intermittent Dock 1 issue under investigation / diagnosis pending</t>
  </si>
  <si>
    <t>TBD - pending recurrence evidence and diagnosis</t>
  </si>
  <si>
    <t>Identify and resolve intermittent Roanoke connectivity and device delays around Dock 1 while distinguishing network, endpoint, application, and voice causes.</t>
  </si>
  <si>
    <t>Basic checks have not produced a confirmed fault. Intermittent connectivity was reported around Dock 1, and prior user reports included device delays with a possible voice-system component. Resolution remains open.</t>
  </si>
  <si>
    <t>Mahan, Jerimar, and Armin to coordinate with site Operations; capture timestamps, devices, applications, switch/AP/port, voice symptoms, and logs; reproduce the issue where possible; isolate the fault domain; implement corrective action; document monitoring and user acceptance.</t>
  </si>
  <si>
    <t>Mahan Sasani / Jerimar Castaneda / Armin Guevarra / Voice Team / Roanoke Operations / Robert Moreno</t>
  </si>
  <si>
    <t>Intermittent symptoms may evade routine tests and move between support teams without timestamped evidence and clear ownership.</t>
  </si>
  <si>
    <t>Keep the ticket open and Amber until corrective action and stable monitoring evidence are documented.</t>
  </si>
  <si>
    <t>October 21 Project Follow-Up: Relocation Decisions, Site Status, and Next Steps; Ticket 26017.</t>
  </si>
  <si>
    <t>NetBox and Infrastructure Documentation Governance</t>
  </si>
  <si>
    <t>Network records maintained / server inventory and application-documentation ownership pending</t>
  </si>
  <si>
    <t>TBD - after ownership review and documented target dates</t>
  </si>
  <si>
    <t>Maintain NetBox as the authoritative infrastructure record and assign accountable ownership for network, server, and critical application documentation.</t>
  </si>
  <si>
    <t>Jerimar continues to maintain network records. Server inventory coverage and Yangyang’s documentation role require confirmation. Dynamics GP documentation ownership also remains unresolved.</t>
  </si>
  <si>
    <t>Jerimar to continue network updates and reconcile active devices. Confirm Yangyang’s server-documentation responsibilities, identify the Dynamics GP documentation owner, define required fields and evidence, assign review and approval roles, and set completion dates after the ownership review.</t>
  </si>
  <si>
    <t>Jerimar Castaneda / Yangyang Yang / Dynamics GP Owner (TBD) / Peng Gao / Infrastructure and Application Owners / Robert Moreno</t>
  </si>
  <si>
    <t>Unclear ownership may leave server and application records incomplete, inconsistent, or stale, weakening troubleshooting, change planning, recovery, auditability, and relocation readiness.</t>
  </si>
  <si>
    <t>Leadership to confirm documentation owners and target dates. Require periodic reconciliation and owner sign-off before treating NetBox and related records as complete.</t>
  </si>
  <si>
    <t>Joliet Conveyor Repair</t>
  </si>
  <si>
    <t>Replacement bands and bearings identified / approval and parts schedule pending</t>
  </si>
  <si>
    <t>TBD - after approval and parts availability</t>
  </si>
  <si>
    <t>Complete the Joliet conveyor repair with approved parts, cost, installation, testing, and operational acceptance.</t>
  </si>
  <si>
    <t>Replacement bands and bearings have been identified. Approval, final specifications, quantities, costs, parts availability, repair date, and test evidence remain pending.</t>
  </si>
  <si>
    <t>David’s team to provide photos, specifications, quantities, and costs; Javier to approve the repair; confirm parts lead time and work window; complete installation, safety checks, functional testing, and Operations acceptance.</t>
  </si>
  <si>
    <t>David Rodriguez and Team / Javier / Joliet Operations / Maintenance / Robert Moreno</t>
  </si>
  <si>
    <t>Approval or parts delays may prolong conveyor constraints. Incorrect specifications or incomplete testing could create repeat failure or safety risk.</t>
  </si>
  <si>
    <t>Require approved scope, cost, schedule, and post-repair test evidence before closure.</t>
  </si>
  <si>
    <t>Memphis AGV Shipment and Receiving Readiness</t>
  </si>
  <si>
    <t>Shipment planned through Roanoke / delivery and inspection confirmation pending</t>
  </si>
  <si>
    <t>2026-10-30 estimated Memphis delivery</t>
  </si>
  <si>
    <t>Deliver the AGV equipment to Memphis on schedule with compliant transport, tracked custody, receiving coordination, and inspection readiness.</t>
  </si>
  <si>
    <t>The shipment is planned through Roanoke. The stated targets are Roanoke on 27-Oct-2026 and Memphis on 30-Oct-2026. Delivery confirmation, battery-shipping compliance, receiving contacts, inspection steps, and exception handling are not yet documented.</t>
  </si>
  <si>
    <t>David to track both legs, flag schedule changes, confirm carrier handling and lithium-battery requirements, name the Memphis receiver, arrange unloading and secure storage, inspect shipment condition and completeness, and document receipt for deployment readiness.</t>
  </si>
  <si>
    <t>David Rodriguez / Memphis Receiving and Operations / Roanoke Logistics / AGV Team / Carrier / Robert Moreno</t>
  </si>
  <si>
    <t>Transit delay, battery restrictions, damage, missing materials, or uncoordinated receiving could affect the deployment and Black Friday readiness.</t>
  </si>
  <si>
    <t>Track daily through confirmed Memphis receipt and inspection; escalate any deviation from the 30-Oct target.</t>
  </si>
  <si>
    <t>UNIS/ITEM-eHub Carrier Integration</t>
  </si>
  <si>
    <t>Vesync analysis received / TSP analysis delivered and awaiting customer review / pilot, commercial, and technical decisions pending</t>
  </si>
  <si>
    <t>2026-09-02</t>
  </si>
  <si>
    <t>TBD - after TSP and Vesync validation, approved pilot execution, and acceptance review</t>
  </si>
  <si>
    <t>Validate eHub carrier savings and ITEM WMS compatibility, then prove commercial, technical, billing, operational, and service performance through controlled customer pilots before broader rollout.</t>
  </si>
  <si>
    <t>eHub presented the TSP carrier-savings and strategy analysis on 08-Oct-2026 and sent the reviewed material for TSP reference. Kennedy followed up on 15-Oct and again on 20-Oct to confirm whether TSP had reviewed the analysis and had questions; no TSP response or decision is documented in the thread. The separate Vesync report remains modeled at $47,557.35 sample savings, or 15.8%, and $346,489 annualized savings, with an estimated 0.9-day average SLA increase. No customer pilot, commercial commitment, production date, or go-live approval is recorded.</t>
  </si>
  <si>
    <t>TSP: review the delivered analysis, confirm carrier and service preferences, delivery requirements, exceptions, and questions, and identify a decision owner. eHub/Katie/Kennedy: schedule a working session if clarification is needed and provide the reconciled savings bridge, commercial assumptions, and pilot proposal. For Vesync, validate accessorials, carrier eligibility, service mapping, UniUni concentration, SLA impact, claims, billing, analytics, and ITEM WMS behavior. Define controlled pilots with success thresholds, reporting, rollback, and approval gates.</t>
  </si>
  <si>
    <t>Robert Moreno / Lam Xie / Jody Crouse / Katie Petty / Kennedy Linehan / Gene Kwon / Song, Stella and Weixin at TSP / Jason Hermansen / Jack Liu / Robert Chung / eHub and ITEM Technical Teams / Customer Operations and Finance</t>
  </si>
  <si>
    <t>TSP customer review and engagement remain unconfirmed after two follow-ups. Both TSP and Vesync savings cases are modeled rather than realized. Commercial terms, service eligibility, accessorials, claims, billing, technical readiness, operational acceptance, and pilot results remain unvalidated. Vesync also carries UniUni concentration and estimated SLA-impact risk.</t>
  </si>
  <si>
    <t>Maintain Amber. Assign a dated TSP response target and escalation owner. Do not treat modeled savings as committed benefits. Require documented customer, commercial, technical, operational, financial, and service acceptance before pilot activation or broader rollout.</t>
  </si>
  <si>
    <t>Re eHub/TSP Introductory Call email thread: analysis presented and sent 08-Oct-2026; follow-ups 15-Oct and 20-Oct-2026 PST with no documented TSP response. Previous sources: e-Hub 08Oct2026 meeting notes and Vesync Carrier Orchestration Report received 09-Oct-2026.</t>
  </si>
  <si>
    <t>TSP Shipping Savings Analysis &amp; Business Case</t>
  </si>
  <si>
    <t>Analysis presented and delivered / TSP review, questions, reconciliation, and pilot decision pending after repeated follow-up</t>
  </si>
  <si>
    <t>TBD - pending TSP response, savings reconciliation, commercial validation, and pilot decision</t>
  </si>
  <si>
    <t>Establish a defensible TSP savings case using equivalent service comparisons, complete cost assumptions, customer operating requirements, and an agreed reporting period before authorizing a pilot.</t>
  </si>
  <si>
    <t>TSP joined the eHub introductory call on 08-Oct-2026. Katie and Kennedy presented the carrier savings and strategy analysis, and Kennedy attached the reviewed analysis for TSP reference. Kennedy asked on 15-Oct whether TSP had reviewed it or had questions and followed up again on 20-Oct. The available thread contains no TSP response, questions, acceptance, or pilot decision. The earlier analysis referenced 532 shipments over just under two months, current spend just under $11,000, proposed spend of $8,472, and approximately 21% modeled savings; the calculation basis still requires reconciliation before approval use.</t>
  </si>
  <si>
    <t>Song, Stella, Weixin, and TSP Finance/Operations: acknowledge receipt, review the analysis, document questions, validate current rates and carrier preferences, confirm delivery-service requirements and exceptions, and identify the decision owner and target date. Katie/Kennedy/eHub: provide exact sample dates, baseline spend, annualization method, excluded fees, accessorial treatment, carrier and service mapping, zone and weight assumptions, and the UPS/USPS savings bridge. Lam/Robert: coordinate a review session and convert accepted assumptions into a limited pilot plan with KPIs, rollback, and approval gates.</t>
  </si>
  <si>
    <t>Song / Stella / Weixin / TSP Finance and Operations / Katie Petty / Kennedy Linehan / Lam Xie / Robert Moreno / eHub Account Executive and Analytics Teams / ITEM Technical Team</t>
  </si>
  <si>
    <t>No documented customer response after two follow-ups creates engagement and schedule risk. The headline savings may be misinterpreted as annual or committed savings. Rounded carrier figures, excluded fees, accessorials, adjustments, non-equivalent service levels, or customer exceptions could materially change the business case.</t>
  </si>
  <si>
    <t>Keep Amber and set a dated response checkpoint. Require a reconciled savings bridge and written TSP validation before using the analysis for approval, contracting, forecast commitments, or pilot success targets. Escalate or place the opportunity on hold if TSP remains unresponsive.</t>
  </si>
  <si>
    <t>Re eHub/TSP Introductory Call email thread: introductory call and analysis delivery 08-Oct-2026; eHub follow-ups 15-Oct and 20-Oct-2026 PST; no documented TSP response in the available thread.</t>
  </si>
  <si>
    <t>ITEM WMS Pre-Label Rate Shopping &amp; Service Selection</t>
  </si>
  <si>
    <t>Requirement confirmed / end-to-end demonstration pending</t>
  </si>
  <si>
    <t>TBD - after technical validation</t>
  </si>
  <si>
    <t>Confirm that TSP can compare eHub and existing-carrier rates, view expected delivery timing, manually select a preferred service, and generate the label within its existing ITEM workflow.</t>
  </si>
  <si>
    <t>eHub stated that ITEM is already integrated and that rates should be accessible without a separate integration. TSP confirmed that users compare price and delivery timing before label creation and may choose a faster or preferred service rather than the lowest price. A separate rate-comparison form may be needed, but the referenced PC or EDI application was not clearly identified. The workflow was discussed but not demonstrated or tested.</t>
  </si>
  <si>
    <t>TSP and ITEM to identify the exact application and screen. ITEM and eHub to demonstrate rate requests using origin and destination ZIP codes and required delivery windows; display eligible services, expected transit, rates, and existing-account options; allow manual selection before purchase; generate the label; and verify errors, audit history, performance, and user acceptance.</t>
  </si>
  <si>
    <t>ITEM Technical Team / eHub Integration Team / Robert Moreno / Katie Petty / TSP Operations and Users</t>
  </si>
  <si>
    <t>The existing integration may not support TSP’s required decision point, service visibility, manual override, or exact application. Transit estimates were discussed, but no contractual delivery guarantee or late-delivery remedy was established.</t>
  </si>
  <si>
    <t>Treat successful end-to-end testing and documented user acceptance as a pilot entry gate. Clearly distinguish expected transit from a guaranteed delivery commitment.</t>
  </si>
  <si>
    <t>e-Hub 08Oct2026 PST, Sections 3 and 6; delivery timing and ITEM WMS rate-shopping workflow.</t>
  </si>
  <si>
    <t>TSP Billing, Funding &amp; Account Setup</t>
  </si>
  <si>
    <t>Options discussed / commercial selection pending</t>
  </si>
  <si>
    <t>TBD - before pilot activation</t>
  </si>
  <si>
    <t>Approve a billing and funding model that TSP, eHub, ITEM, and Finance can operate and reconcile without shipment interruption or payment ambiguity.</t>
  </si>
  <si>
    <t>USPS was described as using a funded postage meter with charges deducted as shipments are processed. UPS may use prepaid funding or weekly payment terms, with payments made to eHub and eHub paying UPS. No payment option, account structure, credit terms, funding threshold, invoice process, or reconciliation owner was selected.</t>
  </si>
  <si>
    <t>eHub and TSP Finance to document USPS meter funding, replenishment controls, low-balance alerts, UPS prepaid and weekly-payment options, credit requirements, invoicing, adjustments, taxes and fees, dispute handling, payment timing, accounting treatment, and reconciliation ownership. Select and approve the model before pilot activation.</t>
  </si>
  <si>
    <t>eHub Finance / TSP Finance / ITEM Finance / Katie Petty / Robert Moreno</t>
  </si>
  <si>
    <t>Unapproved funding or payment terms could stop label creation, create credit exposure, delay settlement, or produce invoice and adjustment disputes.</t>
  </si>
  <si>
    <t>Require Finance approval, documented account ownership, and a tested funding and reconciliation process before production shipment volume is enabled.</t>
  </si>
  <si>
    <t>e-Hub 08Oct2026 PST, Section 4 and billing action item.</t>
  </si>
  <si>
    <t>Claims, Declared Value &amp; Shipment Coverage</t>
  </si>
  <si>
    <t>Capability discussed / policy and procedures unconfirmed</t>
  </si>
  <si>
    <t>TBD - before high-value shipment pilot</t>
  </si>
  <si>
    <t>Define claims support and shipment-protection rules for TSP’s higher-value automotive parts before any covered shipments are processed.</t>
  </si>
  <si>
    <t>eHub stated that its support team can submit UPS claims using shipment details such as the tracking number. UPS declared value can be passed through the integration and may create an extra charge; USPS services were described as including $100 standard coverage. Claim deadlines, evidence, eligibility, settlement timing, exclusions, service-specific limits, and the distinction between declared value and insurance were not established.</t>
  </si>
  <si>
    <t>eHub to provide the supported carriers and services, declared-value API fields and limits, pricing, included coverage, exclusions, claim deadlines, required documents, submission workflow, escalation path, settlement timing, liability treatment, and customer responsibilities. ITEM and TSP to test a high-value scenario and approve the operating procedure.</t>
  </si>
  <si>
    <t>eHub Claims and Support / ITEM Technical Team / TSP Operations and Finance / Katie Petty / Robert Moreno</t>
  </si>
  <si>
    <t>Incorrect assumptions about declared value, insurance, included coverage, or claim eligibility could leave expensive automotive parts underprotected and create customer or financial disputes.</t>
  </si>
  <si>
    <t>Do not include high-value shipments in the pilot until coverage terms, system behavior, costs, and claims ownership are documented and accepted.</t>
  </si>
  <si>
    <t>e-Hub 08Oct2026 PST, Section 5 and claims and coverage action item.</t>
  </si>
  <si>
    <t>eHub Analytics Access &amp; Delivery Performance</t>
  </si>
  <si>
    <t>Platform demonstrated / TSP onboarding and KPI design pending</t>
  </si>
  <si>
    <t>TBD - aligned with pilot</t>
  </si>
  <si>
    <t>Provide TSP with governed analytics access and use actual performance data to monitor cost, transit, carrier mix, zones, weights, and delivery-promise decisions.</t>
  </si>
  <si>
    <t>eHub demonstrated analytics included at no additional charge and stated that TSP would receive its own login. Views included transit by carrier, state and zone; date and carrier filters; average cost by zone and weight; carrier and service mix; geographic volume; and package-level adjustments. Analytics could help identify where ground services support a three-day offer, but this was presented as planning insight, not a delivery commitment.</t>
  </si>
  <si>
    <t>Confirm TSP user roles, access provisioning, data latency, retention, export capability, KPI definitions, reporting cadence, support ownership, and pilot dashboard. Define cost, transit, on-time performance, service mix, adjustment rate, savings, and exception thresholds.</t>
  </si>
  <si>
    <t>eHub Analytics Team / TSP Operations and Management / ITEM Technical Team / Katie Petty / Robert Moreno</t>
  </si>
  <si>
    <t>Without agreed definitions and access controls, analytics may be incomplete, delayed, or interpreted as a service guarantee. A dashboard alone does not prove carrier performance or savings.</t>
  </si>
  <si>
    <t>Approve KPI definitions and reporting ownership before pilot start and use actual pilot results, not forecast values, for rollout decisions.</t>
  </si>
  <si>
    <t>e-Hub 08Oct2026 PST, Section 7 and analytics demonstration table.</t>
  </si>
  <si>
    <t>Shipping Adjustment Monitoring &amp; Warehouse Accuracy</t>
  </si>
  <si>
    <t>Capability demonstrated / operational controls pending</t>
  </si>
  <si>
    <t>TBD - during pilot readiness</t>
  </si>
  <si>
    <t>Detect carrier adjustments quickly and correct recurring weight, dimension, scale, packaging, or data-entry issues that erode negotiated savings.</t>
  </si>
  <si>
    <t>TSP is not currently tracking adjustment percentages. eHub demonstrated package-level adjustment review and cited potential causes including incorrect weight, incorrect dimensions, misconfigured warehouse scales, and inaccurate box-manufacturer dimensions. One example described a four-pound entry measured by USPS at five pounds, which could add charges and remove discounted pricing. Exact carrier adjustment rules were not verified.</t>
  </si>
  <si>
    <t>Define the adjustment KPI, baseline, alert threshold, review cadence, owner, dispute workflow, and corrective-action process. Validate warehouse scales, dimensional data, packaging master data, and user entry controls. Reconcile adjustments to invoices and include adjustment leakage in pilot savings calculations.</t>
  </si>
  <si>
    <t>TSP Warehouse Operations / TSP Finance / eHub Analytics and Support / ITEM Technical Team / Robert Moreno</t>
  </si>
  <si>
    <t>Unmonitored adjustments can materially reduce forecast savings. Inaccurate measurements or master data may recur across shipments and create billing disputes.</t>
  </si>
  <si>
    <t>Make adjustment monitoring and warehouse measurement validation mandatory pilot controls with named owners and corrective-action tracking.</t>
  </si>
  <si>
    <t>e-Hub 08Oct2026 PST, Section 8; adjustment monitoring demonstration.</t>
  </si>
  <si>
    <t>Existing Carrier Account Analytics Integration</t>
  </si>
  <si>
    <t>FedEx and existing-account reporting discussed / connection design pending</t>
  </si>
  <si>
    <t>TBD - after platform and account confirmation</t>
  </si>
  <si>
    <t>Create a consolidated performance view across eHub-provided services and TSP’s own carrier accounts without disrupting existing contracts or routing choices.</t>
  </si>
  <si>
    <t>eHub stated that analytics may include shipments from TSP-owned accounts such as FedEx when connected through the appropriate integration. The source system name sounded like “RADI,” but its exact name, owner, supported connection method, credentials, data scope, and implementation requirements were not confirmed.</t>
  </si>
  <si>
    <t>Confirm the source platform name and owner; identify supported FedEx and other account connections; document authentication, permissions, data fields, history, refresh timing, security, cost, and reconciliation; then test consolidated reporting with sample shipments.</t>
  </si>
  <si>
    <t>eHub Analytics and Integration Teams / ITEM Technical Team / TSP Carrier and IT Owners / Katie Petty / Robert Moreno</t>
  </si>
  <si>
    <t>An unidentified platform or unsupported connector may delay consolidated reporting. Credential, data-quality, security, and duplicate-shipment issues could produce incomplete or misleading analytics.</t>
  </si>
  <si>
    <t>Assign a technical owner and require a documented, security-approved connection design before relying on combined carrier reporting.</t>
  </si>
  <si>
    <t>e-Hub 08Oct2026 PST, Section 9 and existing-account analytics action item.</t>
  </si>
  <si>
    <t>Vesync Carrier Orchestration Analysis and Pilot Decision</t>
  </si>
  <si>
    <t>Detailed report received / validation and pilot approval pending</t>
  </si>
  <si>
    <t>TBD - after Vesync pilot decision</t>
  </si>
  <si>
    <t>Validate the Vesync carrier-orchestration business case and service impact, then approve a measured pilot only if savings, transit, coverage, operations, and financial controls meet agreed thresholds.</t>
  </si>
  <si>
    <t>eHub priced all 35,080 shipments in the 3-Aug to 18-Sep-2026 dataset and reported no rows removed during cleaning. Current spend was $300,891.08 and proposed spend was $253,333.73, for $47,557.35 sample savings or 15.8%. Annualized savings were projected at $346,489 using 255 business days. The proposed mix routes 20,010 shipments or 57.0% to UniUni, 5,997 or 17.1% to USPS services, 6,776 or 19.3% to UPS services, and 2,297 or 6.5% remain on FedEx. Average transit is estimated to increase by 0.9 days.</t>
  </si>
  <si>
    <t>Vesync, ITEM, and eHub to reconcile the rate workbook and assumptions, including accessorials, dimensional adjustments, excluded fees, service eligibility, zone and weight logic, carrier capacity, pickup coverage, transit estimates, claims, declared value, and invoice treatment. Define a limited pilot with representative zones and weights, actual-cost and on-time KPIs, exception thresholds, analytics access, owners, rollback, and formal acceptance criteria.</t>
  </si>
  <si>
    <t>Jason Hermansen / Katie Petty / Jack Liu / Robert Chung / Lam Xie / Robert Moreno / Vesync Operations and Finance / ITEM and eHub Technical Teams</t>
  </si>
  <si>
    <t>Savings may change with volume, carrier mix, commitments, accessorials, and service requirements. Routing 57.0% of volume to UniUni creates carrier-capacity and coverage concentration risk. The 0.9-day estimated SLA increase may affect customer commitments, and forecast results do not establish actual savings or on-time performance.</t>
  </si>
  <si>
    <t>Keep Amber until Vesync accepts the commercial assumptions and pilot design. Do not use the report for third-party benchmarking or carrier negotiation. Require actual pilot cost, adjustment, transit, and exception results before rollout approval.</t>
  </si>
  <si>
    <t>Vesync Carrier Orchestration Report and detailed USPS/UPS/UniUni workbook received 9-Oct-2026 PST. Analysis period: 3-Aug to 18-Sep-2026; 35,080 shipments.</t>
  </si>
  <si>
    <t>Estimated Delivery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</si>
</sst>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34">
    <font>
      <sz val="11"/>
      <color theme="1"/>
      <name val="宋体"/>
    </font>
    <font>
      <b/>
      <sz val="11"/>
      <color rgb="FFFFFFFF"/>
      <name val="Aptos"/>
    </font>
    <font>
      <sz val="11"/>
      <color rgb="FF1F1F1F"/>
      <name val="Aptos"/>
    </font>
    <font>
      <sz val="11"/>
      <color theme="1"/>
      <name val="宋体"/>
    </font>
    <font>
      <b/>
      <sz val="11"/>
      <color rgb="FF000000"/>
      <name val="Aptos"/>
    </font>
    <font>
      <sz val="10"/>
      <color rgb="FF000000"/>
      <name val="Arial"/>
    </font>
    <font>
      <sz val="9"/>
      <color rgb="FF1F1F1F"/>
      <name val="Times New Roman"/>
      <family val="1"/>
    </font>
    <font>
      <sz val="9"/>
      <color rgb="FF1F1F1F"/>
      <name val="Segoe UI Emoji"/>
      <family val="2"/>
    </font>
    <font>
      <b/>
      <sz val="11"/>
      <color rgb="FFFFFFFF"/>
      <name val="Aptos"/>
      <family val="2"/>
    </font>
    <font>
      <sz val="11"/>
      <color theme="1"/>
      <name val="Aptos"/>
      <family val="2"/>
    </font>
    <font>
      <sz val="11"/>
      <color rgb="FF1F1F1F"/>
      <name val="Aptos"/>
      <family val="2"/>
    </font>
    <font>
      <b/>
      <sz val="10"/>
      <color rgb="FF7F6000"/>
      <name val="Arial"/>
    </font>
    <font>
      <b/>
      <sz val="10"/>
      <color rgb="FF000000"/>
      <name val="Arial"/>
    </font>
    <font>
      <sz val="11"/>
      <color rgb="FF9C6500"/>
      <name val="Aptos"/>
    </font>
    <font>
      <b/>
      <sz val="11"/>
      <color rgb="FF7F6000"/>
      <name val="Aptos"/>
    </font>
    <font>
      <b/>
      <sz val="15"/>
      <color rgb="FFFFFFFF"/>
      <name val="Carlito"/>
      <charset val="134"/>
    </font>
    <font>
      <b/>
      <sz val="10"/>
      <color rgb="FF17365D"/>
      <name val="Carlito"/>
      <charset val="134"/>
    </font>
    <font>
      <b/>
      <sz val="10"/>
      <color rgb="FFFFFFFF"/>
      <name val="Carlito"/>
      <charset val="134"/>
    </font>
    <font>
      <sz val="9"/>
      <color rgb="FF1F1F1F"/>
      <name val="Carlito"/>
      <charset val="134"/>
    </font>
    <font>
      <b/>
      <sz val="9"/>
      <color rgb="FF006100"/>
      <name val="Carlito"/>
      <charset val="134"/>
    </font>
    <font>
      <sz val="9"/>
      <color rgb="FF1F1F1F"/>
      <name val="Segoe UI Symbol"/>
      <family val="2"/>
    </font>
    <font>
      <b/>
      <sz val="9"/>
      <color rgb="FF00B050"/>
      <name val="Carlito"/>
      <charset val="134"/>
    </font>
    <font>
      <b/>
      <sz val="11"/>
      <color rgb="FF000000"/>
      <name val="宋体"/>
    </font>
    <font>
      <b/>
      <sz val="10"/>
      <color rgb="FF006100"/>
      <name val="Arial"/>
    </font>
    <font>
      <sz val="10"/>
      <color rgb="FF7F6000"/>
      <name val="Aptos"/>
    </font>
    <font>
      <b/>
      <sz val="10"/>
      <color rgb="FF7F6000"/>
      <name val="Aptos"/>
    </font>
    <font>
      <b/>
      <sz val="10"/>
      <color rgb="FF9C0006"/>
      <name val="Aptos"/>
    </font>
    <font>
      <sz val="11"/>
      <color rgb="FF000000"/>
      <name val="宋体"/>
    </font>
    <font>
      <sz val="11"/>
      <color rgb="FF000000"/>
      <name val="Aptos"/>
      <family val="2"/>
    </font>
    <font>
      <b/>
      <sz val="10"/>
      <color rgb="FF9C6500"/>
      <name val="Arial"/>
    </font>
    <font>
      <b/>
      <sz val="11"/>
      <color rgb="FFFFFFFF"/>
      <name val="Arial"/>
    </font>
    <font>
      <sz val="10"/>
      <color rgb="FF006100"/>
      <name val="Aptos"/>
    </font>
    <font>
      <b/>
      <sz val="10"/>
      <color rgb="FF006100"/>
      <name val="Aptos"/>
    </font>
    <font>
      <sz val="10"/>
      <color theme="1"/>
      <name val="Arial"/>
    </font>
  </fonts>
  <fills count="21">
    <fill>
      <patternFill patternType="none"/>
    </fill>
    <fill>
      <patternFill patternType="gray125"/>
    </fill>
    <fill>
      <patternFill patternType="solid">
        <fgColor rgb="FF1F4E78"/>
      </patternFill>
    </fill>
    <fill>
      <patternFill patternType="solid">
        <fgColor rgb="FFFFE699"/>
      </patternFill>
    </fill>
    <fill>
      <patternFill patternType="solid">
        <fgColor theme="4" tint="0.79985961485641044"/>
        <bgColor indexed="65"/>
      </patternFill>
    </fill>
    <fill>
      <patternFill patternType="solid">
        <fgColor rgb="FFFFF2CC"/>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8FC"/>
        <bgColor indexed="64"/>
      </patternFill>
    </fill>
    <fill>
      <patternFill patternType="solid">
        <fgColor rgb="FFC6EFCE"/>
        <bgColor indexed="64"/>
      </patternFill>
    </fill>
    <fill>
      <patternFill patternType="solid">
        <fgColor rgb="FFC6E0B4"/>
        <bgColor rgb="FF000000"/>
      </patternFill>
    </fill>
    <fill>
      <patternFill patternType="solid">
        <fgColor rgb="FFC6E0B4"/>
      </patternFill>
    </fill>
    <fill>
      <patternFill patternType="solid">
        <fgColor rgb="FFD9E5F3"/>
      </patternFill>
    </fill>
    <fill>
      <patternFill patternType="solid">
        <fgColor rgb="FFFFFFFF"/>
      </patternFill>
    </fill>
    <fill>
      <patternFill patternType="solid">
        <fgColor rgb="FFF4CCCC"/>
      </patternFill>
    </fill>
    <fill>
      <patternFill patternType="solid">
        <fgColor rgb="FF1F4E78"/>
        <bgColor rgb="FF000000"/>
      </patternFill>
    </fill>
    <fill>
      <patternFill patternType="solid">
        <fgColor rgb="FFDCE6F1"/>
        <bgColor rgb="FFDCE6F1"/>
      </patternFill>
    </fill>
    <fill>
      <patternFill patternType="solid">
        <fgColor rgb="FFFFFFFF"/>
        <bgColor rgb="FF000000"/>
      </patternFill>
    </fill>
    <fill>
      <patternFill patternType="solid">
        <fgColor rgb="FFC0E6F5"/>
        <bgColor rgb="FFC0E6F5"/>
      </patternFill>
    </fill>
    <fill>
      <patternFill patternType="solid">
        <fgColor rgb="FFD9E5F3"/>
        <bgColor rgb="FF000000"/>
      </patternFill>
    </fill>
  </fills>
  <borders count="21">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style="thin">
        <color rgb="FFD9E2F3"/>
      </top>
      <bottom/>
      <diagonal/>
    </border>
    <border>
      <left style="thin">
        <color rgb="FFA6A6A6"/>
      </left>
      <right/>
      <top style="thin">
        <color rgb="FFA6A6A6"/>
      </top>
      <bottom/>
      <diagonal/>
    </border>
    <border>
      <left/>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95B3D7"/>
      </left>
      <right/>
      <top style="thin">
        <color rgb="FF95B3D7"/>
      </top>
      <bottom/>
      <diagonal/>
    </border>
    <border>
      <left/>
      <right/>
      <top style="thin">
        <color rgb="FF95B3D7"/>
      </top>
      <bottom/>
      <diagonal/>
    </border>
    <border>
      <left/>
      <right style="thin">
        <color rgb="FF95B3D7"/>
      </right>
      <top style="thin">
        <color rgb="FF95B3D7"/>
      </top>
      <bottom/>
      <diagonal/>
    </border>
    <border>
      <left style="thin">
        <color rgb="FF44B3E1"/>
      </left>
      <right/>
      <top/>
      <bottom/>
      <diagonal/>
    </border>
    <border>
      <left/>
      <right style="thin">
        <color rgb="FF44B3E1"/>
      </right>
      <top/>
      <bottom/>
      <diagonal/>
    </border>
    <border>
      <left style="thin">
        <color rgb="FF44B3E1"/>
      </left>
      <right/>
      <top style="thin">
        <color rgb="FF44B3E1"/>
      </top>
      <bottom/>
      <diagonal/>
    </border>
    <border>
      <left/>
      <right/>
      <top style="thin">
        <color rgb="FF44B3E1"/>
      </top>
      <bottom/>
      <diagonal/>
    </border>
    <border>
      <left/>
      <right style="thin">
        <color rgb="FF44B3E1"/>
      </right>
      <top style="thin">
        <color rgb="FF44B3E1"/>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rgb="FFA6A6A6"/>
      </top>
      <bottom style="thin">
        <color rgb="FFA6A6A6"/>
      </bottom>
      <diagonal/>
    </border>
    <border>
      <left/>
      <right/>
      <top style="thin">
        <color theme="4" tint="0.39997558519241921"/>
      </top>
      <bottom style="thin">
        <color theme="4" tint="0.39997558519241921"/>
      </bottom>
      <diagonal/>
    </border>
  </borders>
  <cellStyleXfs count="3">
    <xf numFmtId="0" fontId="0" fillId="0" borderId="0"/>
    <xf numFmtId="0" fontId="3" fillId="0" borderId="0"/>
    <xf numFmtId="9" fontId="3" fillId="0" borderId="0" applyFont="0" applyFill="0" applyBorder="0" applyAlignment="0" applyProtection="0"/>
  </cellStyleXfs>
  <cellXfs count="134">
    <xf numFmtId="0" fontId="0" fillId="0" borderId="0" xfId="0"/>
    <xf numFmtId="0" fontId="0" fillId="0" borderId="0" xfId="0" applyAlignment="1">
      <alignment wrapText="1"/>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0" fontId="1" fillId="2"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5" fillId="0" borderId="4" xfId="0" applyFont="1" applyBorder="1" applyAlignment="1">
      <alignment horizontal="center" vertical="top" wrapText="1"/>
    </xf>
    <xf numFmtId="0" fontId="5" fillId="0" borderId="4" xfId="0" applyFont="1" applyBorder="1" applyAlignment="1">
      <alignment horizontal="left" vertical="top" wrapText="1"/>
    </xf>
    <xf numFmtId="164" fontId="5" fillId="0" borderId="4" xfId="0" applyNumberFormat="1" applyFont="1" applyBorder="1" applyAlignment="1">
      <alignment horizontal="center" vertical="top" wrapText="1"/>
    </xf>
    <xf numFmtId="9" fontId="5" fillId="0" borderId="4" xfId="0" applyNumberFormat="1" applyFont="1" applyBorder="1" applyAlignment="1">
      <alignment horizontal="center"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5" fillId="3" borderId="4" xfId="0" applyFont="1" applyFill="1" applyBorder="1" applyAlignment="1">
      <alignment horizontal="left" vertical="top" wrapText="1"/>
    </xf>
    <xf numFmtId="9" fontId="2" fillId="0" borderId="4" xfId="0" applyNumberFormat="1" applyFont="1" applyBorder="1" applyAlignment="1">
      <alignment horizontal="center" vertical="top" wrapText="1"/>
    </xf>
    <xf numFmtId="0" fontId="9" fillId="0" borderId="0" xfId="0" applyFont="1"/>
    <xf numFmtId="0" fontId="0" fillId="0" borderId="0" xfId="0" applyAlignment="1">
      <alignment vertical="center" wrapText="1"/>
    </xf>
    <xf numFmtId="9" fontId="2" fillId="0" borderId="2" xfId="0" applyNumberFormat="1" applyFont="1" applyBorder="1" applyAlignment="1">
      <alignment horizontal="center"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horizontal="center" vertical="top"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13" fillId="5" borderId="4" xfId="0" applyFont="1" applyFill="1" applyBorder="1" applyAlignment="1">
      <alignment horizontal="center" vertical="center" wrapText="1"/>
    </xf>
    <xf numFmtId="165" fontId="2" fillId="0" borderId="4" xfId="0" applyNumberFormat="1" applyFont="1" applyBorder="1" applyAlignment="1">
      <alignment horizontal="center" vertical="center" wrapText="1"/>
    </xf>
    <xf numFmtId="164" fontId="2" fillId="0" borderId="4" xfId="0" applyNumberFormat="1" applyFont="1" applyBorder="1" applyAlignment="1">
      <alignment horizontal="center" vertical="center" wrapText="1"/>
    </xf>
    <xf numFmtId="9" fontId="2" fillId="0" borderId="4" xfId="0" applyNumberFormat="1" applyFont="1" applyBorder="1" applyAlignment="1">
      <alignment vertical="center" wrapText="1"/>
    </xf>
    <xf numFmtId="0" fontId="0" fillId="0" borderId="4" xfId="0" applyBorder="1" applyAlignment="1">
      <alignment vertical="center" wrapText="1"/>
    </xf>
    <xf numFmtId="0" fontId="15" fillId="6" borderId="0" xfId="0" applyFont="1" applyFill="1" applyAlignment="1">
      <alignment vertical="center"/>
    </xf>
    <xf numFmtId="0" fontId="16" fillId="7" borderId="0" xfId="0" applyFont="1" applyFill="1" applyAlignment="1">
      <alignment vertical="center" wrapText="1"/>
    </xf>
    <xf numFmtId="0" fontId="17" fillId="8" borderId="6" xfId="0" applyFont="1" applyFill="1" applyBorder="1" applyAlignment="1">
      <alignment horizontal="center" vertical="center" wrapText="1"/>
    </xf>
    <xf numFmtId="0" fontId="17" fillId="8" borderId="7" xfId="0" applyFont="1" applyFill="1" applyBorder="1" applyAlignment="1">
      <alignment horizontal="center" vertical="center" wrapText="1"/>
    </xf>
    <xf numFmtId="0" fontId="17" fillId="8" borderId="8" xfId="0" applyFont="1" applyFill="1" applyBorder="1" applyAlignment="1">
      <alignment horizontal="center" vertical="center" wrapText="1"/>
    </xf>
    <xf numFmtId="0" fontId="17" fillId="8" borderId="9" xfId="0" applyFont="1" applyFill="1" applyBorder="1" applyAlignment="1">
      <alignment horizontal="center" vertical="center" wrapText="1"/>
    </xf>
    <xf numFmtId="0" fontId="17" fillId="8" borderId="0" xfId="0" applyFont="1" applyFill="1" applyAlignment="1">
      <alignment vertical="center" wrapText="1"/>
    </xf>
    <xf numFmtId="0" fontId="18" fillId="9" borderId="4" xfId="0" applyFont="1" applyFill="1" applyBorder="1" applyAlignment="1">
      <alignment vertical="top" wrapText="1"/>
    </xf>
    <xf numFmtId="0" fontId="19" fillId="10" borderId="4" xfId="0" applyFont="1" applyFill="1" applyBorder="1" applyAlignment="1">
      <alignment horizontal="center" vertical="top" wrapText="1"/>
    </xf>
    <xf numFmtId="164" fontId="18" fillId="9" borderId="4" xfId="0" applyNumberFormat="1" applyFont="1" applyFill="1" applyBorder="1" applyAlignment="1">
      <alignment vertical="top" wrapText="1"/>
    </xf>
    <xf numFmtId="9" fontId="18" fillId="9" borderId="4" xfId="0" applyNumberFormat="1" applyFont="1" applyFill="1" applyBorder="1" applyAlignment="1">
      <alignment vertical="top" wrapText="1"/>
    </xf>
    <xf numFmtId="0" fontId="18" fillId="9" borderId="2" xfId="0" applyFont="1" applyFill="1" applyBorder="1" applyAlignment="1">
      <alignment horizontal="center" vertical="top" wrapText="1"/>
    </xf>
    <xf numFmtId="9" fontId="18" fillId="9" borderId="2" xfId="0" applyNumberFormat="1" applyFont="1" applyFill="1" applyBorder="1" applyAlignment="1">
      <alignment horizontal="center" vertical="top" wrapText="1"/>
    </xf>
    <xf numFmtId="0" fontId="18" fillId="9" borderId="2" xfId="0" applyFont="1" applyFill="1" applyBorder="1" applyAlignment="1">
      <alignment vertical="top" wrapText="1"/>
    </xf>
    <xf numFmtId="0" fontId="18" fillId="0" borderId="4" xfId="0" applyFont="1" applyBorder="1" applyAlignment="1">
      <alignment vertical="top" wrapText="1"/>
    </xf>
    <xf numFmtId="164" fontId="18" fillId="0" borderId="4" xfId="0" applyNumberFormat="1" applyFont="1" applyBorder="1" applyAlignment="1">
      <alignment vertical="top" wrapText="1"/>
    </xf>
    <xf numFmtId="0" fontId="18" fillId="0" borderId="3" xfId="0" applyFont="1" applyBorder="1" applyAlignment="1">
      <alignment horizontal="center" vertical="top" wrapText="1"/>
    </xf>
    <xf numFmtId="9" fontId="18" fillId="0" borderId="3" xfId="0" applyNumberFormat="1" applyFont="1" applyBorder="1" applyAlignment="1">
      <alignment horizontal="center" vertical="top" wrapText="1"/>
    </xf>
    <xf numFmtId="0" fontId="18" fillId="0" borderId="3" xfId="0" applyFont="1" applyBorder="1" applyAlignment="1">
      <alignment vertical="top" wrapText="1"/>
    </xf>
    <xf numFmtId="0" fontId="18" fillId="9" borderId="3" xfId="0" applyFont="1" applyFill="1" applyBorder="1" applyAlignment="1">
      <alignment horizontal="center" vertical="top" wrapText="1"/>
    </xf>
    <xf numFmtId="9" fontId="18" fillId="9" borderId="3" xfId="0" applyNumberFormat="1" applyFont="1" applyFill="1" applyBorder="1" applyAlignment="1">
      <alignment horizontal="center" vertical="top" wrapText="1"/>
    </xf>
    <xf numFmtId="0" fontId="18" fillId="9" borderId="3" xfId="0" applyFont="1" applyFill="1" applyBorder="1" applyAlignment="1">
      <alignment vertical="top" wrapText="1"/>
    </xf>
    <xf numFmtId="0" fontId="18" fillId="9" borderId="3" xfId="0" quotePrefix="1" applyFont="1" applyFill="1" applyBorder="1" applyAlignment="1">
      <alignment horizontal="center" vertical="top" wrapText="1"/>
    </xf>
    <xf numFmtId="165" fontId="2" fillId="0" borderId="4" xfId="0" applyNumberFormat="1" applyFont="1" applyBorder="1" applyAlignment="1">
      <alignment horizontal="center" vertical="top" wrapText="1"/>
    </xf>
    <xf numFmtId="165" fontId="5" fillId="0" borderId="4" xfId="0" applyNumberFormat="1" applyFont="1" applyBorder="1" applyAlignment="1">
      <alignment horizontal="center" vertical="top" wrapText="1"/>
    </xf>
    <xf numFmtId="0" fontId="0" fillId="12" borderId="4" xfId="0" applyFill="1" applyBorder="1" applyAlignment="1">
      <alignment vertical="top" wrapText="1"/>
    </xf>
    <xf numFmtId="0" fontId="0" fillId="3" borderId="4" xfId="0" applyFill="1" applyBorder="1" applyAlignment="1">
      <alignment vertical="top" wrapText="1"/>
    </xf>
    <xf numFmtId="165" fontId="11" fillId="3" borderId="4" xfId="0" applyNumberFormat="1" applyFont="1" applyFill="1" applyBorder="1" applyAlignment="1">
      <alignment horizontal="center" vertical="top" wrapText="1"/>
    </xf>
    <xf numFmtId="0" fontId="14" fillId="3" borderId="4" xfId="0" applyFont="1" applyFill="1" applyBorder="1" applyAlignment="1">
      <alignment horizontal="center" vertical="center" wrapText="1"/>
    </xf>
    <xf numFmtId="0" fontId="4" fillId="12" borderId="4" xfId="0" applyFont="1" applyFill="1" applyBorder="1" applyAlignment="1">
      <alignment horizontal="center" vertical="center" wrapText="1"/>
    </xf>
    <xf numFmtId="165" fontId="22" fillId="12" borderId="4" xfId="0" applyNumberFormat="1" applyFont="1" applyFill="1" applyBorder="1" applyAlignment="1">
      <alignment horizontal="center" vertical="top" wrapText="1"/>
    </xf>
    <xf numFmtId="0" fontId="11" fillId="3" borderId="4" xfId="0" applyFont="1" applyFill="1" applyBorder="1" applyAlignment="1">
      <alignment horizontal="center" vertical="top" wrapText="1"/>
    </xf>
    <xf numFmtId="0" fontId="23" fillId="12" borderId="3" xfId="0" applyFont="1" applyFill="1" applyBorder="1" applyAlignment="1">
      <alignment horizontal="center" vertical="center" wrapText="1"/>
    </xf>
    <xf numFmtId="9" fontId="2" fillId="0" borderId="3" xfId="0" applyNumberFormat="1" applyFont="1" applyBorder="1" applyAlignment="1">
      <alignment horizontal="center" vertical="center" wrapText="1"/>
    </xf>
    <xf numFmtId="0" fontId="2" fillId="14" borderId="0" xfId="0" applyFont="1" applyFill="1" applyAlignment="1">
      <alignment horizontal="left" vertical="top" wrapText="1"/>
    </xf>
    <xf numFmtId="0" fontId="2" fillId="13" borderId="0" xfId="0" applyFont="1" applyFill="1" applyAlignment="1">
      <alignment horizontal="left" vertical="top" wrapText="1"/>
    </xf>
    <xf numFmtId="164" fontId="11" fillId="3" borderId="3" xfId="0" applyNumberFormat="1" applyFont="1" applyFill="1" applyBorder="1" applyAlignment="1">
      <alignment horizontal="center" vertical="center" wrapText="1"/>
    </xf>
    <xf numFmtId="0" fontId="2" fillId="14" borderId="2" xfId="0" applyFont="1" applyFill="1" applyBorder="1" applyAlignment="1">
      <alignment horizontal="left" vertical="top" wrapText="1"/>
    </xf>
    <xf numFmtId="0" fontId="1" fillId="2" borderId="0" xfId="0" applyFont="1" applyFill="1" applyAlignment="1">
      <alignment horizontal="center" vertical="top" wrapText="1"/>
    </xf>
    <xf numFmtId="0" fontId="24" fillId="3" borderId="4" xfId="0" applyFont="1" applyFill="1" applyBorder="1" applyAlignment="1">
      <alignment horizontal="center" vertical="top" wrapText="1"/>
    </xf>
    <xf numFmtId="0" fontId="25" fillId="3" borderId="4" xfId="0" applyFont="1" applyFill="1" applyBorder="1" applyAlignment="1">
      <alignment horizontal="center" vertical="top" wrapText="1"/>
    </xf>
    <xf numFmtId="0" fontId="26" fillId="15" borderId="4" xfId="0" applyFont="1" applyFill="1" applyBorder="1" applyAlignment="1">
      <alignment horizontal="center" vertical="top" wrapText="1"/>
    </xf>
    <xf numFmtId="0" fontId="8" fillId="16" borderId="10" xfId="0" applyFont="1" applyFill="1" applyBorder="1" applyAlignment="1">
      <alignment horizontal="center" vertical="center" wrapText="1"/>
    </xf>
    <xf numFmtId="0" fontId="8" fillId="16" borderId="11" xfId="0" applyFont="1" applyFill="1" applyBorder="1" applyAlignment="1">
      <alignment horizontal="center" vertical="center" wrapText="1"/>
    </xf>
    <xf numFmtId="0" fontId="8" fillId="16" borderId="12" xfId="0" applyFont="1" applyFill="1" applyBorder="1" applyAlignment="1">
      <alignment horizontal="center" vertical="center" wrapText="1"/>
    </xf>
    <xf numFmtId="0" fontId="10" fillId="17" borderId="0" xfId="0" applyFont="1" applyFill="1" applyAlignment="1">
      <alignment horizontal="center" vertical="top" wrapText="1"/>
    </xf>
    <xf numFmtId="0" fontId="10" fillId="17" borderId="0" xfId="0" applyFont="1" applyFill="1" applyAlignment="1">
      <alignment vertical="top" wrapText="1"/>
    </xf>
    <xf numFmtId="0" fontId="4" fillId="11" borderId="0" xfId="0" applyFont="1" applyFill="1" applyAlignment="1">
      <alignment horizontal="center" vertical="center" wrapText="1"/>
    </xf>
    <xf numFmtId="9" fontId="10" fillId="17" borderId="0" xfId="0" applyNumberFormat="1" applyFont="1" applyFill="1" applyAlignment="1">
      <alignment horizontal="center" vertical="top" wrapText="1"/>
    </xf>
    <xf numFmtId="0" fontId="10" fillId="0" borderId="0" xfId="0" applyFont="1" applyAlignment="1">
      <alignment horizontal="center" vertical="top" wrapText="1"/>
    </xf>
    <xf numFmtId="0" fontId="10" fillId="0" borderId="0" xfId="0" applyFont="1" applyAlignment="1">
      <alignment vertical="top" wrapText="1"/>
    </xf>
    <xf numFmtId="9" fontId="10" fillId="0" borderId="0" xfId="0" applyNumberFormat="1" applyFont="1" applyAlignment="1">
      <alignment horizontal="center" vertical="top" wrapText="1"/>
    </xf>
    <xf numFmtId="0" fontId="27" fillId="0" borderId="0" xfId="0" applyFont="1" applyAlignment="1">
      <alignment vertical="center" wrapText="1"/>
    </xf>
    <xf numFmtId="0" fontId="28" fillId="0" borderId="0" xfId="0" applyFont="1"/>
    <xf numFmtId="0" fontId="29" fillId="3" borderId="3" xfId="0" applyFont="1" applyFill="1" applyBorder="1" applyAlignment="1">
      <alignment horizontal="center" vertical="center" wrapText="1"/>
    </xf>
    <xf numFmtId="0" fontId="2" fillId="0" borderId="3" xfId="0" applyFont="1" applyBorder="1" applyAlignment="1">
      <alignment vertical="center" wrapText="1"/>
    </xf>
    <xf numFmtId="0" fontId="2" fillId="0" borderId="3" xfId="0" applyFont="1" applyBorder="1" applyAlignment="1">
      <alignment horizontal="center" vertical="center" wrapText="1"/>
    </xf>
    <xf numFmtId="164" fontId="2" fillId="0" borderId="3" xfId="0" applyNumberFormat="1" applyFont="1" applyBorder="1" applyAlignment="1">
      <alignment horizontal="center" vertical="center" wrapText="1"/>
    </xf>
    <xf numFmtId="0" fontId="2" fillId="13" borderId="0" xfId="0" applyFont="1" applyFill="1" applyAlignment="1">
      <alignment horizontal="left" vertical="center" wrapText="1"/>
    </xf>
    <xf numFmtId="16" fontId="25" fillId="3" borderId="4" xfId="0" applyNumberFormat="1" applyFont="1" applyFill="1" applyBorder="1" applyAlignment="1">
      <alignment horizontal="center" vertical="top" wrapText="1"/>
    </xf>
    <xf numFmtId="16" fontId="26" fillId="15" borderId="4" xfId="0" applyNumberFormat="1" applyFont="1" applyFill="1" applyBorder="1" applyAlignment="1">
      <alignment horizontal="center" vertical="top" wrapText="1"/>
    </xf>
    <xf numFmtId="0" fontId="2" fillId="4" borderId="4" xfId="0" applyFont="1" applyFill="1" applyBorder="1" applyAlignment="1">
      <alignment horizontal="center" vertical="top" wrapText="1"/>
    </xf>
    <xf numFmtId="165" fontId="0" fillId="0" borderId="4" xfId="0" applyNumberFormat="1" applyBorder="1" applyAlignment="1">
      <alignment horizontal="center" vertical="top" wrapText="1"/>
    </xf>
    <xf numFmtId="0" fontId="30" fillId="2" borderId="4" xfId="0" applyFont="1" applyFill="1" applyBorder="1" applyAlignment="1">
      <alignment horizontal="center" vertical="top" wrapText="1"/>
    </xf>
    <xf numFmtId="165" fontId="23" fillId="12" borderId="4" xfId="0" applyNumberFormat="1" applyFont="1" applyFill="1" applyBorder="1" applyAlignment="1">
      <alignment horizontal="center" vertical="top" wrapText="1"/>
    </xf>
    <xf numFmtId="0" fontId="12" fillId="3" borderId="4" xfId="0" applyFont="1" applyFill="1" applyBorder="1" applyAlignment="1">
      <alignment horizontal="center" vertical="top" wrapText="1"/>
    </xf>
    <xf numFmtId="0" fontId="2" fillId="0" borderId="13" xfId="0" applyFont="1" applyBorder="1" applyAlignment="1">
      <alignment horizontal="center" vertical="top" wrapText="1"/>
    </xf>
    <xf numFmtId="0" fontId="2" fillId="0" borderId="0" xfId="0" applyFont="1" applyAlignment="1">
      <alignment vertical="top" wrapText="1"/>
    </xf>
    <xf numFmtId="0" fontId="2" fillId="0" borderId="0" xfId="0" applyFont="1" applyAlignment="1">
      <alignment horizontal="center" vertical="top" wrapText="1"/>
    </xf>
    <xf numFmtId="0" fontId="23" fillId="11" borderId="0" xfId="0" applyFont="1" applyFill="1" applyAlignment="1">
      <alignment horizontal="center" vertical="center" wrapText="1"/>
    </xf>
    <xf numFmtId="14" fontId="2" fillId="0" borderId="0" xfId="0" applyNumberFormat="1" applyFont="1" applyAlignment="1">
      <alignment horizontal="center" vertical="top" wrapText="1"/>
    </xf>
    <xf numFmtId="9" fontId="2" fillId="0" borderId="0" xfId="0" applyNumberFormat="1" applyFont="1" applyAlignment="1">
      <alignment horizontal="center" vertical="center" wrapText="1"/>
    </xf>
    <xf numFmtId="0" fontId="2" fillId="0" borderId="14" xfId="0" applyFont="1" applyBorder="1" applyAlignment="1">
      <alignment vertical="top" wrapText="1"/>
    </xf>
    <xf numFmtId="0" fontId="2" fillId="18" borderId="0" xfId="0" applyFont="1" applyFill="1" applyAlignment="1">
      <alignment horizontal="left" vertical="top" wrapText="1"/>
    </xf>
    <xf numFmtId="0" fontId="2" fillId="19" borderId="15" xfId="0" applyFont="1" applyFill="1" applyBorder="1" applyAlignment="1">
      <alignment horizontal="center" vertical="top" wrapText="1"/>
    </xf>
    <xf numFmtId="0" fontId="2" fillId="19" borderId="16" xfId="0" applyFont="1" applyFill="1" applyBorder="1" applyAlignment="1">
      <alignment vertical="top" wrapText="1"/>
    </xf>
    <xf numFmtId="0" fontId="2" fillId="19" borderId="16" xfId="0" applyFont="1" applyFill="1" applyBorder="1" applyAlignment="1">
      <alignment horizontal="center" vertical="top" wrapText="1"/>
    </xf>
    <xf numFmtId="9" fontId="2" fillId="19" borderId="16" xfId="0" applyNumberFormat="1" applyFont="1" applyFill="1" applyBorder="1" applyAlignment="1">
      <alignment horizontal="center" vertical="center" wrapText="1"/>
    </xf>
    <xf numFmtId="0" fontId="2" fillId="19" borderId="17" xfId="0" applyFont="1" applyFill="1" applyBorder="1" applyAlignment="1">
      <alignment vertical="top" wrapText="1"/>
    </xf>
    <xf numFmtId="0" fontId="2" fillId="20" borderId="5" xfId="0" applyFont="1" applyFill="1" applyBorder="1" applyAlignment="1">
      <alignment horizontal="left" vertical="top" wrapText="1"/>
    </xf>
    <xf numFmtId="0" fontId="25" fillId="3" borderId="18" xfId="0" applyFont="1" applyFill="1" applyBorder="1" applyAlignment="1">
      <alignment horizontal="center" vertical="top" wrapText="1"/>
    </xf>
    <xf numFmtId="0" fontId="2" fillId="0" borderId="4" xfId="0" applyFont="1" applyBorder="1" applyAlignment="1">
      <alignment horizontal="left" vertical="top" wrapText="1"/>
    </xf>
    <xf numFmtId="0" fontId="0" fillId="0" borderId="4" xfId="0" applyBorder="1" applyAlignment="1">
      <alignment horizontal="left" vertical="top" wrapText="1"/>
    </xf>
    <xf numFmtId="0" fontId="31" fillId="12" borderId="4" xfId="0" applyFont="1" applyFill="1" applyBorder="1" applyAlignment="1">
      <alignment horizontal="center" vertical="top" wrapText="1"/>
    </xf>
    <xf numFmtId="0" fontId="32" fillId="12" borderId="4" xfId="0" applyFont="1" applyFill="1" applyBorder="1" applyAlignment="1">
      <alignment horizontal="center" vertical="top" wrapText="1"/>
    </xf>
    <xf numFmtId="0" fontId="33" fillId="0" borderId="4" xfId="0" applyFont="1" applyBorder="1" applyAlignment="1">
      <alignment horizontal="center" vertical="top" wrapText="1"/>
    </xf>
    <xf numFmtId="164" fontId="33" fillId="0" borderId="4" xfId="0" applyNumberFormat="1" applyFont="1" applyBorder="1" applyAlignment="1">
      <alignment horizontal="center" vertical="top" wrapText="1"/>
    </xf>
    <xf numFmtId="9" fontId="33" fillId="0" borderId="4" xfId="0" applyNumberFormat="1" applyFont="1" applyBorder="1" applyAlignment="1">
      <alignment horizontal="center" vertical="top" wrapText="1"/>
    </xf>
    <xf numFmtId="0" fontId="33" fillId="0" borderId="4" xfId="0" applyFont="1" applyBorder="1" applyAlignment="1">
      <alignment horizontal="left" vertical="top" wrapText="1"/>
    </xf>
    <xf numFmtId="0" fontId="1" fillId="2" borderId="1" xfId="0" applyFont="1" applyFill="1" applyBorder="1" applyAlignment="1">
      <alignment horizontal="center" vertical="top" wrapText="1"/>
    </xf>
    <xf numFmtId="0" fontId="1" fillId="2" borderId="4" xfId="0" applyFont="1" applyFill="1" applyBorder="1" applyAlignment="1">
      <alignment horizontal="center" vertical="top" wrapText="1"/>
    </xf>
    <xf numFmtId="165" fontId="12" fillId="3" borderId="4" xfId="0" applyNumberFormat="1" applyFont="1" applyFill="1" applyBorder="1" applyAlignment="1">
      <alignment horizontal="center" vertical="top" wrapText="1"/>
    </xf>
    <xf numFmtId="165" fontId="29" fillId="3" borderId="19" xfId="0" applyNumberFormat="1" applyFont="1" applyFill="1" applyBorder="1" applyAlignment="1">
      <alignment horizontal="center" vertical="center" wrapText="1"/>
    </xf>
    <xf numFmtId="165" fontId="0" fillId="0" borderId="4" xfId="0" applyNumberFormat="1" applyBorder="1" applyAlignment="1">
      <alignment vertical="top" wrapText="1"/>
    </xf>
    <xf numFmtId="164" fontId="0" fillId="0" borderId="4" xfId="0" applyNumberFormat="1" applyBorder="1" applyAlignment="1">
      <alignment vertical="top" wrapText="1"/>
    </xf>
    <xf numFmtId="165" fontId="4" fillId="3" borderId="4" xfId="0" applyNumberFormat="1" applyFont="1" applyFill="1" applyBorder="1" applyAlignment="1">
      <alignment horizontal="center" vertical="top" wrapText="1"/>
    </xf>
    <xf numFmtId="165" fontId="14" fillId="3" borderId="4" xfId="0" applyNumberFormat="1" applyFont="1" applyFill="1" applyBorder="1" applyAlignment="1">
      <alignment horizontal="center" vertical="top" wrapText="1"/>
    </xf>
    <xf numFmtId="0" fontId="15" fillId="6" borderId="0" xfId="0" applyFont="1" applyFill="1" applyAlignment="1">
      <alignment vertical="center"/>
    </xf>
    <xf numFmtId="0" fontId="16" fillId="7" borderId="0" xfId="0" applyFont="1" applyFill="1" applyAlignment="1">
      <alignment vertical="center" wrapText="1"/>
    </xf>
    <xf numFmtId="0" fontId="1" fillId="2" borderId="20" xfId="0" applyFont="1" applyFill="1" applyBorder="1" applyAlignment="1">
      <alignment horizontal="center" vertical="center" wrapText="1"/>
    </xf>
  </cellXfs>
  <cellStyles count="3">
    <cellStyle name="Normal" xfId="0" builtinId="0"/>
    <cellStyle name="Percent" xfId="2" xr:uid="{00000000-0005-0000-0000-000001000000}"/>
    <cellStyle name="常规" xfId="1" xr:uid="{00000000-0005-0000-0000-000002000000}"/>
  </cellStyles>
  <dxfs count="125">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9"/>
        <color rgb="FF006100"/>
        <name val="Carlito"/>
        <charset val="134"/>
        <scheme val="none"/>
      </font>
      <fill>
        <patternFill patternType="solid">
          <fgColor indexed="64"/>
          <bgColor rgb="FFC6EFCE"/>
        </patternFill>
      </fill>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1A1BB0-309E-488F-B49F-600E48896486}" name="TeamRoadmapTable1" displayName="TeamRoadmapTable1" ref="A1:M7" totalsRowShown="0">
  <autoFilter ref="A1:M7" xr:uid="{A71A1BB0-309E-488F-B49F-600E48896486}"/>
  <tableColumns count="13">
    <tableColumn id="1" xr3:uid="{C980970C-B48D-4335-A7E5-7AA2F6802A24}" name="#" dataDxfId="124"/>
    <tableColumn id="2" xr3:uid="{96D6F9DD-6A4C-4A23-8A2B-F5291F35F77B}" name="Project / Workstream" dataDxfId="123"/>
    <tableColumn id="3" xr3:uid="{888D9B81-A395-47DF-80CE-DA1131D1376F}" name="Status" dataDxfId="122"/>
    <tableColumn id="4" xr3:uid="{CD231B59-4E25-4B82-A1EB-E707CA38F7F6}" name="RAG Status" dataDxfId="121"/>
    <tableColumn id="5" xr3:uid="{09DB588B-E2A0-4761-85A9-73F0AAB8C56E}" name="Start Date" dataDxfId="120"/>
    <tableColumn id="6" xr3:uid="{1A4661DA-45C5-46A1-916F-2F7D6E08BB15}" name="Estimated Delivery Date" dataDxfId="119"/>
    <tableColumn id="7" xr3:uid="{48DEBC38-3245-436F-B70F-5021B1121FE5}" name="% of Completion" dataDxfId="118"/>
    <tableColumn id="8" xr3:uid="{290E8003-D7B1-4D5D-857D-CBB894CC223E}" name="Core Objective" dataDxfId="117"/>
    <tableColumn id="9" xr3:uid="{BCACD256-A4F8-499C-BFD0-C1A9A8DABF38}" name="Current Progress" dataDxfId="116"/>
    <tableColumn id="10" xr3:uid="{5A660B4D-1115-4650-BF44-269E14C2F4B6}" name="Key Next Steps" dataDxfId="115"/>
    <tableColumn id="11" xr3:uid="{8A1FC045-4525-484D-851C-CE33F806003F}" name="Owners / Direct Responsible Individual" dataDxfId="114"/>
    <tableColumn id="12" xr3:uid="{FF19E1D6-D997-457B-AED2-186127759682}" name="Key Risks / Blockers" dataDxfId="113"/>
    <tableColumn id="13" xr3:uid="{7B618D71-AE79-4B84-AB4E-BE24031BD242}" name="Management Attention" dataDxfId="11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9B16DD-CD75-4F39-B4E0-759050AC8B28}" name="TeamRoadmapTable2" displayName="TeamRoadmapTable2" ref="A1:M19" totalsRowShown="0">
  <autoFilter ref="A1:M19" xr:uid="{FC9B16DD-CD75-4F39-B4E0-759050AC8B28}"/>
  <tableColumns count="13">
    <tableColumn id="1" xr3:uid="{06992AA5-31E1-482E-B43C-2A63D3E114AB}" name="#" dataDxfId="111"/>
    <tableColumn id="2" xr3:uid="{E0EFDD58-C7EB-42B5-80E7-397AAB177A30}" name="Project / Workstream" dataDxfId="110"/>
    <tableColumn id="3" xr3:uid="{3EAFFCC4-EA2A-4A28-B87D-1CB76DA3F561}" name="Status" dataDxfId="109"/>
    <tableColumn id="4" xr3:uid="{0C50D08B-F5CE-4332-8091-7772C3BCB2B6}" name="RAG Status" dataDxfId="108"/>
    <tableColumn id="5" xr3:uid="{21E8224A-91FF-489A-B795-8DD4413AF866}" name="Start Date" dataDxfId="107"/>
    <tableColumn id="6" xr3:uid="{643846B9-C99B-4E93-B5F9-2D724BE522ED}" name="Estimated Delivery Date" dataDxfId="106"/>
    <tableColumn id="7" xr3:uid="{0D3AA03D-7C42-441F-B65F-37211CA2D830}" name="% of Completion" dataDxfId="105"/>
    <tableColumn id="8" xr3:uid="{326EA916-E276-4344-9973-EF3BBB3D6C28}" name="Core Objective" dataDxfId="104"/>
    <tableColumn id="9" xr3:uid="{AF78EA38-110A-4BC4-A738-D762A566C95B}" name="Current Progress" dataDxfId="103"/>
    <tableColumn id="10" xr3:uid="{16D35E58-3B77-4A55-9A7E-2127525E94D9}" name="Key Next Steps" dataDxfId="102"/>
    <tableColumn id="11" xr3:uid="{FCF9B89B-00EC-485E-A819-7386703F503F}" name="Owners / Direct Responsible Individual" dataDxfId="101"/>
    <tableColumn id="12" xr3:uid="{7266E1A4-3FD3-4F52-8252-D0CAC5C11C17}" name="Key Risks / Blockers" dataDxfId="100"/>
    <tableColumn id="13" xr3:uid="{1EC34BBD-DA4C-477C-94FF-B9FA06BB43EF}" name="Management Attention" dataDxfId="9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5DA8CF1-0749-447D-BE9F-234CC140F3D5}" name="_10IoTTable" displayName="_10IoTTable" ref="A3:M7" totalsRowShown="0">
  <autoFilter ref="A3:M7" xr:uid="{65DA8CF1-0749-447D-BE9F-234CC140F3D5}"/>
  <tableColumns count="13">
    <tableColumn id="1" xr3:uid="{A42FBC5A-5AB7-4E56-8955-D33DD8B39A2F}" name="#" dataDxfId="98"/>
    <tableColumn id="2" xr3:uid="{48895D70-CD40-454C-BCF6-E71E20E1B5D7}" name="Project / Workstream" dataDxfId="97"/>
    <tableColumn id="3" xr3:uid="{7042EA98-2297-45CD-8FB8-4DB81434329B}" name="Status" dataDxfId="96"/>
    <tableColumn id="13" xr3:uid="{6ACFE3C6-7C72-4612-B788-1A2EE239387D}" name="RAG Status" dataDxfId="95"/>
    <tableColumn id="4" xr3:uid="{B077331C-655B-4625-B3AE-960E49A8DAA0}" name="Start Date" dataDxfId="94"/>
    <tableColumn id="5" xr3:uid="{14C810B0-8C31-4BAC-B4AA-225493DA4C35}" name="Estimated Delivery Date" dataDxfId="93"/>
    <tableColumn id="6" xr3:uid="{92E2932C-BBDB-4580-9824-73C127586685}" name="% of Completion" dataDxfId="92"/>
    <tableColumn id="7" xr3:uid="{637CBACF-931B-4A5D-83E3-D8F95A6B569E}" name="Core Objective"/>
    <tableColumn id="8" xr3:uid="{96183204-6BB9-41FA-A03C-6594655716D0}" name="Current Progress"/>
    <tableColumn id="9" xr3:uid="{761E254D-A73D-4E17-B889-C31A24AA6E25}" name="Key Next Steps"/>
    <tableColumn id="10" xr3:uid="{7636D1C9-D72D-4105-8567-EBA8CD4E69C8}" name="Owner / Responsible"/>
    <tableColumn id="11" xr3:uid="{BA27276F-261A-4A04-A957-CB4FBB0F4B6E}" name="Key Risks / Blockers"/>
    <tableColumn id="12" xr3:uid="{7819FF11-4557-4047-9653-D7D6CC7ACE48}" name="Management Attention"/>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608F297-8742-4FB9-9E04-B1157A41375B}" name="TeamRoadmapTable5" displayName="TeamRoadmapTable5" ref="A1:M8" totalsRowShown="0">
  <autoFilter ref="A1:M8" xr:uid="{C608F297-8742-4FB9-9E04-B1157A41375B}"/>
  <tableColumns count="13">
    <tableColumn id="1" xr3:uid="{5FD14C3B-893F-4F75-8E09-AD96DF0442A4}" name="#"/>
    <tableColumn id="2" xr3:uid="{CCC28E1F-395D-43ED-BAC4-8E1CF3A6D30B}" name="Project / Workstream"/>
    <tableColumn id="3" xr3:uid="{89A6373D-656C-43ED-9D47-D1F08B03E82D}" name="Status"/>
    <tableColumn id="4" xr3:uid="{D70D11DB-A2F6-4892-A184-0F75CFF8B212}" name="RAG Status"/>
    <tableColumn id="5" xr3:uid="{5C36154E-32C5-428D-A2FA-2AD22BE2DBA1}" name="Start Date"/>
    <tableColumn id="6" xr3:uid="{94EF4D04-1B12-4814-8B32-0E8420DD71F8}" name="Estimated Delivery Date"/>
    <tableColumn id="7" xr3:uid="{BDAB9FAB-8371-4D73-A199-6621EB8DEEA5}" name="% of Completion"/>
    <tableColumn id="8" xr3:uid="{9E518B2D-8D2F-467D-994B-17C41B13187C}" name="Core Objective"/>
    <tableColumn id="9" xr3:uid="{2B6BD6DC-71C5-4457-B8E3-5DAE4F0EAE73}" name="Current Progress"/>
    <tableColumn id="10" xr3:uid="{41B16784-2C67-4544-9C0A-7F447141A29E}" name="Key Next Steps"/>
    <tableColumn id="11" xr3:uid="{A3149908-66F5-4D83-9C25-3373502C8B52}" name="Owners / Direct Responsible Individual"/>
    <tableColumn id="12" xr3:uid="{DB87B251-1E97-4492-840A-E2BBDBA629DD}" name="Key Risks / Blockers"/>
    <tableColumn id="13" xr3:uid="{1943AE03-353F-479B-A74D-7AB14154882C}" name="Management Atten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FD927E-694D-48DB-BDCB-B7EF17D92354}" name="TeamRoadmapTable6" displayName="TeamRoadmapTable6" ref="A1:M12" totalsRowShown="0">
  <autoFilter ref="A1:M12" xr:uid="{EFFD927E-694D-48DB-BDCB-B7EF17D92354}"/>
  <tableColumns count="13">
    <tableColumn id="1" xr3:uid="{FD853018-9160-40B6-AD3A-01FBA01C8180}" name="#" dataDxfId="91"/>
    <tableColumn id="2" xr3:uid="{1082E385-152B-497E-89DE-67429E70E855}" name="Project / Workstream" dataDxfId="90"/>
    <tableColumn id="3" xr3:uid="{DD2D94DC-2FA3-4380-94F7-5B3B8DAB545E}" name="Status" dataDxfId="89"/>
    <tableColumn id="4" xr3:uid="{90563E9B-C25F-4DAB-9B4B-10A06A29FF49}" name="RAG Status" dataDxfId="88"/>
    <tableColumn id="5" xr3:uid="{FAB56266-E4E8-457C-8294-2344A83E9AB5}" name="Start Date" dataDxfId="87"/>
    <tableColumn id="6" xr3:uid="{B5B770EA-2D63-4268-B956-B86A2D96D931}" name="Estimated Delivery Date" dataDxfId="86"/>
    <tableColumn id="7" xr3:uid="{9C244548-A355-4394-84DF-6C4F9C30B433}" name="% of Completion" dataDxfId="85"/>
    <tableColumn id="8" xr3:uid="{49E7CA11-05AD-4974-9AEA-D42373D9A8C9}" name="Core Objective" dataDxfId="84"/>
    <tableColumn id="9" xr3:uid="{33C40143-39AF-428C-BF9D-AD0CC8CF7C20}" name="Current Progress" dataDxfId="83"/>
    <tableColumn id="10" xr3:uid="{171C6211-BEA3-4026-BB75-96BBCCB9F34F}" name="Key Next Steps" dataDxfId="82"/>
    <tableColumn id="11" xr3:uid="{52ABC80D-1F46-4C95-ADD7-573DD9895B58}" name="Owners / Direct Responsible Individual" dataDxfId="81"/>
    <tableColumn id="12" xr3:uid="{71A740DB-BF55-484E-83A5-FB5F077091BA}" name="Key Risks / Blockers" dataDxfId="80"/>
    <tableColumn id="13" xr3:uid="{0BB4D142-9FDE-40BF-863F-DB4D20B001FC}" name="Management Attention" dataDxfId="7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
  <sheetViews>
    <sheetView showGridLines="0" workbookViewId="0">
      <pane ySplit="1" topLeftCell="A2" activePane="bottomLeft" state="frozen"/>
      <selection pane="bottomLeft" activeCell="F1" sqref="F1"/>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6" t="s">
        <v>0</v>
      </c>
      <c r="B1" s="6" t="s">
        <v>1</v>
      </c>
      <c r="C1" s="6" t="s">
        <v>2</v>
      </c>
      <c r="D1" s="6" t="s">
        <v>3</v>
      </c>
      <c r="E1" s="6" t="s">
        <v>4</v>
      </c>
      <c r="F1" s="6" t="s">
        <v>1275</v>
      </c>
      <c r="G1" s="6" t="s">
        <v>5</v>
      </c>
      <c r="H1" s="6" t="s">
        <v>6</v>
      </c>
      <c r="I1" s="6" t="s">
        <v>7</v>
      </c>
      <c r="J1" s="6" t="s">
        <v>8</v>
      </c>
      <c r="K1" s="6" t="s">
        <v>9</v>
      </c>
      <c r="L1" s="6" t="s">
        <v>10</v>
      </c>
      <c r="M1" s="6" t="s">
        <v>11</v>
      </c>
      <c r="N1" s="1" t="s">
        <v>12</v>
      </c>
    </row>
    <row r="2" spans="1:14" ht="160" customHeight="1">
      <c r="A2" s="27">
        <v>1</v>
      </c>
      <c r="B2" s="28" t="s">
        <v>292</v>
      </c>
      <c r="C2" s="29" t="s">
        <v>293</v>
      </c>
      <c r="D2" s="62" t="s">
        <v>13</v>
      </c>
      <c r="E2" s="30">
        <v>46286</v>
      </c>
      <c r="F2" s="31" t="s">
        <v>294</v>
      </c>
      <c r="G2" s="32">
        <v>0.6</v>
      </c>
      <c r="H2" s="28" t="s">
        <v>295</v>
      </c>
      <c r="I2" s="28" t="s">
        <v>296</v>
      </c>
      <c r="J2" s="28" t="s">
        <v>297</v>
      </c>
      <c r="K2" s="28" t="s">
        <v>408</v>
      </c>
      <c r="L2" s="28" t="s">
        <v>298</v>
      </c>
      <c r="M2" s="28" t="s">
        <v>299</v>
      </c>
      <c r="N2" s="33" t="s">
        <v>409</v>
      </c>
    </row>
    <row r="3" spans="1:14" ht="160" customHeight="1">
      <c r="A3" s="27">
        <v>2</v>
      </c>
      <c r="B3" s="28" t="s">
        <v>16</v>
      </c>
      <c r="C3" s="29" t="s">
        <v>300</v>
      </c>
      <c r="D3" s="62" t="s">
        <v>13</v>
      </c>
      <c r="E3" s="30">
        <v>46286</v>
      </c>
      <c r="F3" s="31" t="s">
        <v>301</v>
      </c>
      <c r="G3" s="32">
        <v>0.85</v>
      </c>
      <c r="H3" s="28" t="s">
        <v>302</v>
      </c>
      <c r="I3" s="28" t="s">
        <v>303</v>
      </c>
      <c r="J3" s="28" t="s">
        <v>304</v>
      </c>
      <c r="K3" s="28" t="s">
        <v>410</v>
      </c>
      <c r="L3" s="28" t="s">
        <v>305</v>
      </c>
      <c r="M3" s="28" t="s">
        <v>306</v>
      </c>
      <c r="N3" s="33" t="s">
        <v>409</v>
      </c>
    </row>
    <row r="4" spans="1:14" ht="160" customHeight="1">
      <c r="A4" s="27">
        <v>3</v>
      </c>
      <c r="B4" s="28" t="s">
        <v>18</v>
      </c>
      <c r="C4" s="29" t="s">
        <v>307</v>
      </c>
      <c r="D4" s="62" t="s">
        <v>13</v>
      </c>
      <c r="E4" s="30">
        <v>46286</v>
      </c>
      <c r="F4" s="31" t="s">
        <v>308</v>
      </c>
      <c r="G4" s="32">
        <v>0.5</v>
      </c>
      <c r="H4" s="28" t="s">
        <v>309</v>
      </c>
      <c r="I4" s="28" t="s">
        <v>310</v>
      </c>
      <c r="J4" s="28" t="s">
        <v>311</v>
      </c>
      <c r="K4" s="28" t="s">
        <v>411</v>
      </c>
      <c r="L4" s="28" t="s">
        <v>312</v>
      </c>
      <c r="M4" s="28" t="s">
        <v>313</v>
      </c>
      <c r="N4" s="33" t="s">
        <v>409</v>
      </c>
    </row>
    <row r="5" spans="1:14" ht="39.65" customHeight="1">
      <c r="A5" s="7">
        <v>4</v>
      </c>
      <c r="B5" s="8" t="s">
        <v>19</v>
      </c>
      <c r="C5" s="7" t="s">
        <v>20</v>
      </c>
      <c r="D5" s="63" t="s">
        <v>21</v>
      </c>
      <c r="E5" s="9" t="s">
        <v>14</v>
      </c>
      <c r="F5" s="9" t="s">
        <v>14</v>
      </c>
      <c r="G5" s="10">
        <v>1</v>
      </c>
      <c r="H5" s="8" t="s">
        <v>22</v>
      </c>
      <c r="I5" s="8" t="s">
        <v>23</v>
      </c>
      <c r="J5" s="8" t="s">
        <v>24</v>
      </c>
      <c r="K5" s="8" t="s">
        <v>412</v>
      </c>
      <c r="L5" s="8" t="s">
        <v>25</v>
      </c>
      <c r="M5" s="8" t="s">
        <v>26</v>
      </c>
      <c r="N5" s="4" t="s">
        <v>27</v>
      </c>
    </row>
    <row r="6" spans="1:14" ht="96" customHeight="1">
      <c r="A6" s="7"/>
      <c r="B6" s="8"/>
      <c r="C6" s="7"/>
      <c r="D6" s="63" t="s">
        <v>21</v>
      </c>
      <c r="E6" s="9"/>
      <c r="F6" s="9"/>
      <c r="G6" s="10"/>
      <c r="H6" s="8"/>
      <c r="I6" s="8"/>
      <c r="J6" s="8"/>
      <c r="K6" s="8"/>
      <c r="L6" s="8"/>
      <c r="M6" s="8"/>
      <c r="N6" s="12" t="s">
        <v>35</v>
      </c>
    </row>
    <row r="7" spans="1:14" ht="96" customHeight="1">
      <c r="A7" s="7"/>
      <c r="B7" s="8"/>
      <c r="C7" s="7"/>
      <c r="D7" s="63" t="s">
        <v>21</v>
      </c>
      <c r="E7" s="9"/>
      <c r="F7" s="9"/>
      <c r="G7" s="10"/>
      <c r="H7" s="8"/>
      <c r="I7" s="8"/>
      <c r="J7" s="8"/>
      <c r="K7" s="8"/>
      <c r="L7" s="8"/>
      <c r="M7" s="8"/>
      <c r="N7" s="12" t="s">
        <v>43</v>
      </c>
    </row>
    <row r="8" spans="1:14" ht="96" customHeight="1">
      <c r="A8" s="11">
        <v>5</v>
      </c>
      <c r="B8" s="12" t="s">
        <v>28</v>
      </c>
      <c r="C8" s="7" t="s">
        <v>314</v>
      </c>
      <c r="D8" s="63" t="s">
        <v>21</v>
      </c>
      <c r="E8" s="13" t="s">
        <v>14</v>
      </c>
      <c r="F8" s="13" t="s">
        <v>14</v>
      </c>
      <c r="G8" s="14">
        <v>0.9</v>
      </c>
      <c r="H8" s="12" t="s">
        <v>29</v>
      </c>
      <c r="I8" s="12" t="s">
        <v>30</v>
      </c>
      <c r="J8" s="12" t="s">
        <v>31</v>
      </c>
      <c r="K8" s="12" t="s">
        <v>32</v>
      </c>
      <c r="L8" s="12" t="s">
        <v>33</v>
      </c>
      <c r="M8" s="12" t="s">
        <v>34</v>
      </c>
      <c r="N8" s="12" t="s">
        <v>35</v>
      </c>
    </row>
    <row r="9" spans="1:14" ht="96" customHeight="1">
      <c r="A9" s="11">
        <v>6</v>
      </c>
      <c r="B9" s="12" t="s">
        <v>36</v>
      </c>
      <c r="C9" s="7" t="s">
        <v>67</v>
      </c>
      <c r="D9" s="63" t="s">
        <v>21</v>
      </c>
      <c r="E9" s="13" t="s">
        <v>14</v>
      </c>
      <c r="F9" s="13" t="s">
        <v>291</v>
      </c>
      <c r="G9" s="14">
        <v>1</v>
      </c>
      <c r="H9" s="12" t="s">
        <v>37</v>
      </c>
      <c r="I9" s="12" t="s">
        <v>38</v>
      </c>
      <c r="J9" s="12" t="s">
        <v>39</v>
      </c>
      <c r="K9" s="12" t="s">
        <v>40</v>
      </c>
      <c r="L9" s="12" t="s">
        <v>41</v>
      </c>
      <c r="M9" s="12" t="s">
        <v>42</v>
      </c>
      <c r="N9" s="12" t="s">
        <v>35</v>
      </c>
    </row>
    <row r="10" spans="1:14" ht="96" customHeight="1">
      <c r="A10" s="11">
        <v>7</v>
      </c>
      <c r="B10" s="12" t="s">
        <v>44</v>
      </c>
      <c r="C10" s="7" t="s">
        <v>45</v>
      </c>
      <c r="D10" s="63" t="s">
        <v>21</v>
      </c>
      <c r="E10" s="13" t="s">
        <v>14</v>
      </c>
      <c r="F10" s="13" t="s">
        <v>14</v>
      </c>
      <c r="G10" s="14">
        <v>1</v>
      </c>
      <c r="H10" s="12" t="s">
        <v>46</v>
      </c>
      <c r="I10" s="12" t="s">
        <v>47</v>
      </c>
      <c r="J10" s="12" t="s">
        <v>48</v>
      </c>
      <c r="K10" s="12" t="s">
        <v>413</v>
      </c>
      <c r="L10" s="12" t="s">
        <v>49</v>
      </c>
      <c r="M10" s="12" t="s">
        <v>50</v>
      </c>
      <c r="N10" s="12" t="s">
        <v>66</v>
      </c>
    </row>
    <row r="11" spans="1:14" ht="62.5">
      <c r="A11" s="11">
        <v>8</v>
      </c>
      <c r="B11" s="12" t="s">
        <v>51</v>
      </c>
      <c r="C11" s="7" t="s">
        <v>67</v>
      </c>
      <c r="D11" s="63" t="s">
        <v>21</v>
      </c>
      <c r="E11" s="13" t="s">
        <v>14</v>
      </c>
      <c r="F11" s="13" t="s">
        <v>14</v>
      </c>
      <c r="G11" s="14">
        <v>1</v>
      </c>
      <c r="H11" s="12" t="s">
        <v>52</v>
      </c>
      <c r="I11" s="12" t="s">
        <v>53</v>
      </c>
      <c r="J11" s="12" t="s">
        <v>54</v>
      </c>
      <c r="K11" s="12" t="s">
        <v>55</v>
      </c>
      <c r="L11" s="12" t="s">
        <v>56</v>
      </c>
      <c r="M11" s="12" t="s">
        <v>57</v>
      </c>
    </row>
    <row r="12" spans="1:14" ht="50">
      <c r="A12" s="11">
        <v>9</v>
      </c>
      <c r="B12" s="12" t="s">
        <v>58</v>
      </c>
      <c r="C12" s="7" t="s">
        <v>67</v>
      </c>
      <c r="D12" s="63" t="s">
        <v>21</v>
      </c>
      <c r="E12" s="13" t="s">
        <v>59</v>
      </c>
      <c r="F12" s="13" t="s">
        <v>14</v>
      </c>
      <c r="G12" s="14">
        <v>1</v>
      </c>
      <c r="H12" s="12" t="s">
        <v>60</v>
      </c>
      <c r="I12" s="12" t="s">
        <v>61</v>
      </c>
      <c r="J12" s="12" t="s">
        <v>62</v>
      </c>
      <c r="K12" s="12" t="s">
        <v>63</v>
      </c>
      <c r="L12" s="12" t="s">
        <v>64</v>
      </c>
      <c r="M12" s="12" t="s">
        <v>65</v>
      </c>
    </row>
  </sheetData>
  <conditionalFormatting sqref="C2:C12">
    <cfRule type="containsText" dxfId="78" priority="5" operator="containsText" text="Completed"/>
    <cfRule type="containsText" dxfId="77" priority="6" operator="containsText" text="In Progress"/>
    <cfRule type="containsText" dxfId="76" priority="7" operator="containsText" text="At Risk"/>
    <cfRule type="containsText" dxfId="75" priority="8" operator="containsText" text="Not Started"/>
  </conditionalFormatting>
  <conditionalFormatting sqref="D2:D4">
    <cfRule type="containsText" dxfId="74" priority="13" operator="containsText" text="Red"/>
    <cfRule type="containsText" dxfId="73" priority="14" operator="containsText" text="Amber"/>
    <cfRule type="containsText" dxfId="72" priority="15" operator="containsText" text="Green"/>
  </conditionalFormatting>
  <conditionalFormatting sqref="D5:D12">
    <cfRule type="containsText" dxfId="71" priority="1" operator="containsText" text="At Risk"/>
    <cfRule type="containsText" dxfId="70" priority="2" operator="containsText" text="Amber"/>
    <cfRule type="containsText" dxfId="69" priority="3" operator="containsText" text="Green"/>
  </conditionalFormatting>
  <conditionalFormatting sqref="F2:F7">
    <cfRule type="dataBar" priority="4">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{22727F57-BF7D-4E43-9593-49D480A2B8C6}</x14:id>
        </ext>
      </extLst>
    </cfRule>
  </conditionalFormatting>
  <dataValidations count="3">
    <dataValidation type="list" sqref="C2:C7" xr:uid="{D7BC36C9-FE77-4EAE-BAB3-7DFA5FE92CBA}">
      <formula1>"Not Started,Pending,In Progress,Ongoing,At Risk,On Hold,Completed,Roadmap,Readiness,Evaluation"</formula1>
    </dataValidation>
    <dataValidation type="decimal" sqref="F2:F7" xr:uid="{C8241067-791C-4033-A795-A0D565FA290C}">
      <formula1>0</formula1>
      <formula2>1</formula2>
    </dataValidation>
    <dataValidation type="list" sqref="D2:D4" xr:uid="{96D8D42E-7949-4492-8E13-44595254648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2727F57-BF7D-4E43-9593-49D480A2B8C6}">
            <x14:dataBar>
              <x14:cfvo type="min"/>
              <x14:cfvo type="max"/>
              <x14:negativeFillColor auto="1"/>
              <x14:axisColor auto="1"/>
            </x14:dataBar>
          </x14:cfRule>
          <xm:sqref>F2:F7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71"/>
  <sheetViews>
    <sheetView showGridLines="0" workbookViewId="0">
      <pane ySplit="1" topLeftCell="A22" activePane="bottomLeft" state="frozen"/>
      <selection pane="bottomLeft" activeCell="F1" sqref="F1"/>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20" customWidth="1"/>
  </cols>
  <sheetData>
    <row r="1" spans="1:14" ht="34" customHeight="1">
      <c r="A1" s="72" t="s">
        <v>0</v>
      </c>
      <c r="B1" s="72" t="s">
        <v>1</v>
      </c>
      <c r="C1" s="72" t="s">
        <v>2</v>
      </c>
      <c r="D1" s="72" t="s">
        <v>3</v>
      </c>
      <c r="E1" s="72" t="s">
        <v>4</v>
      </c>
      <c r="F1" s="6" t="s">
        <v>1275</v>
      </c>
      <c r="G1" s="72" t="s">
        <v>5</v>
      </c>
      <c r="H1" s="72" t="s">
        <v>6</v>
      </c>
      <c r="I1" s="72" t="s">
        <v>7</v>
      </c>
      <c r="J1" s="72" t="s">
        <v>8</v>
      </c>
      <c r="K1" s="72" t="s">
        <v>9</v>
      </c>
      <c r="L1" s="72" t="s">
        <v>10</v>
      </c>
      <c r="M1" s="72" t="s">
        <v>11</v>
      </c>
      <c r="N1" s="72" t="s">
        <v>12</v>
      </c>
    </row>
    <row r="2" spans="1:14" ht="230" customHeight="1">
      <c r="A2" s="7">
        <v>1</v>
      </c>
      <c r="B2" s="7" t="s">
        <v>590</v>
      </c>
      <c r="C2" s="73" t="s">
        <v>591</v>
      </c>
      <c r="D2" s="114" t="s">
        <v>13</v>
      </c>
      <c r="E2" s="9">
        <v>46241</v>
      </c>
      <c r="F2" s="9" t="s">
        <v>592</v>
      </c>
      <c r="G2" s="19">
        <v>0.55000000000000004</v>
      </c>
      <c r="H2" s="115" t="s">
        <v>593</v>
      </c>
      <c r="I2" s="115" t="s">
        <v>594</v>
      </c>
      <c r="J2" s="115" t="s">
        <v>595</v>
      </c>
      <c r="K2" s="115" t="s">
        <v>596</v>
      </c>
      <c r="L2" s="115" t="s">
        <v>597</v>
      </c>
      <c r="M2" s="115" t="s">
        <v>598</v>
      </c>
      <c r="N2" s="116" t="s">
        <v>599</v>
      </c>
    </row>
    <row r="3" spans="1:14" ht="245" customHeight="1">
      <c r="A3" s="7">
        <v>2</v>
      </c>
      <c r="B3" s="7" t="s">
        <v>600</v>
      </c>
      <c r="C3" s="73" t="s">
        <v>601</v>
      </c>
      <c r="D3" s="114" t="s">
        <v>13</v>
      </c>
      <c r="E3" s="9">
        <v>46251</v>
      </c>
      <c r="F3" s="9" t="s">
        <v>602</v>
      </c>
      <c r="G3" s="19">
        <v>0.4</v>
      </c>
      <c r="H3" s="115" t="s">
        <v>603</v>
      </c>
      <c r="I3" s="115" t="s">
        <v>604</v>
      </c>
      <c r="J3" s="115" t="s">
        <v>605</v>
      </c>
      <c r="K3" s="115" t="s">
        <v>606</v>
      </c>
      <c r="L3" s="115" t="s">
        <v>607</v>
      </c>
      <c r="M3" s="115" t="s">
        <v>608</v>
      </c>
      <c r="N3" s="116" t="s">
        <v>609</v>
      </c>
    </row>
    <row r="4" spans="1:14" ht="135" customHeight="1">
      <c r="A4" s="7">
        <v>3</v>
      </c>
      <c r="B4" s="7" t="s">
        <v>610</v>
      </c>
      <c r="C4" s="73" t="s">
        <v>611</v>
      </c>
      <c r="D4" s="74" t="s">
        <v>13</v>
      </c>
      <c r="E4" s="9">
        <v>46289</v>
      </c>
      <c r="F4" s="9" t="s">
        <v>612</v>
      </c>
      <c r="G4" s="19">
        <v>0.85</v>
      </c>
      <c r="H4" s="115" t="s">
        <v>613</v>
      </c>
      <c r="I4" s="115" t="s">
        <v>614</v>
      </c>
      <c r="J4" s="115" t="s">
        <v>615</v>
      </c>
      <c r="K4" s="115" t="s">
        <v>616</v>
      </c>
      <c r="L4" s="115" t="s">
        <v>617</v>
      </c>
      <c r="M4" s="115" t="s">
        <v>618</v>
      </c>
      <c r="N4" s="116" t="s">
        <v>619</v>
      </c>
    </row>
    <row r="5" spans="1:14" ht="15" customHeight="1">
      <c r="A5" s="7">
        <v>4</v>
      </c>
      <c r="B5" s="8" t="s">
        <v>620</v>
      </c>
      <c r="C5" s="117" t="s">
        <v>67</v>
      </c>
      <c r="D5" s="118" t="s">
        <v>21</v>
      </c>
      <c r="E5" s="9" t="s">
        <v>14</v>
      </c>
      <c r="F5" s="9" t="s">
        <v>14</v>
      </c>
      <c r="G5" s="19">
        <v>1</v>
      </c>
      <c r="H5" s="8" t="s">
        <v>621</v>
      </c>
      <c r="I5" s="8" t="s">
        <v>622</v>
      </c>
      <c r="J5" s="8" t="s">
        <v>623</v>
      </c>
      <c r="K5" s="8" t="s">
        <v>624</v>
      </c>
      <c r="L5" s="8" t="s">
        <v>625</v>
      </c>
      <c r="M5" s="8" t="s">
        <v>626</v>
      </c>
      <c r="N5" s="5" t="s">
        <v>15</v>
      </c>
    </row>
    <row r="6" spans="1:14" ht="15" customHeight="1">
      <c r="A6" s="7">
        <v>5</v>
      </c>
      <c r="B6" s="8" t="s">
        <v>627</v>
      </c>
      <c r="C6" s="117" t="s">
        <v>67</v>
      </c>
      <c r="D6" s="118" t="s">
        <v>21</v>
      </c>
      <c r="E6" s="9" t="s">
        <v>14</v>
      </c>
      <c r="F6" s="9" t="s">
        <v>291</v>
      </c>
      <c r="G6" s="19">
        <v>1</v>
      </c>
      <c r="H6" s="8" t="s">
        <v>628</v>
      </c>
      <c r="I6" s="8" t="s">
        <v>629</v>
      </c>
      <c r="J6" s="8" t="s">
        <v>630</v>
      </c>
      <c r="K6" s="8" t="s">
        <v>624</v>
      </c>
      <c r="L6" s="8" t="s">
        <v>631</v>
      </c>
      <c r="M6" s="8" t="s">
        <v>632</v>
      </c>
      <c r="N6" s="5" t="s">
        <v>15</v>
      </c>
    </row>
    <row r="7" spans="1:14" ht="135" customHeight="1">
      <c r="A7" s="7">
        <v>6</v>
      </c>
      <c r="B7" s="7" t="s">
        <v>633</v>
      </c>
      <c r="C7" s="73" t="s">
        <v>634</v>
      </c>
      <c r="D7" s="74" t="s">
        <v>13</v>
      </c>
      <c r="E7" s="9" t="s">
        <v>14</v>
      </c>
      <c r="F7" s="9" t="s">
        <v>635</v>
      </c>
      <c r="G7" s="19">
        <v>0.68</v>
      </c>
      <c r="H7" s="115" t="s">
        <v>636</v>
      </c>
      <c r="I7" s="115" t="s">
        <v>637</v>
      </c>
      <c r="J7" s="115" t="s">
        <v>638</v>
      </c>
      <c r="K7" s="115" t="s">
        <v>639</v>
      </c>
      <c r="L7" s="115" t="s">
        <v>640</v>
      </c>
      <c r="M7" s="115" t="s">
        <v>641</v>
      </c>
      <c r="N7" s="116" t="s">
        <v>642</v>
      </c>
    </row>
    <row r="8" spans="1:14" ht="26.5" customHeight="1">
      <c r="A8" s="7">
        <v>7</v>
      </c>
      <c r="B8" s="8" t="s">
        <v>643</v>
      </c>
      <c r="C8" s="117" t="s">
        <v>17</v>
      </c>
      <c r="D8" s="118" t="s">
        <v>21</v>
      </c>
      <c r="E8" s="9" t="s">
        <v>14</v>
      </c>
      <c r="F8" s="9" t="s">
        <v>14</v>
      </c>
      <c r="G8" s="19">
        <v>0.9</v>
      </c>
      <c r="H8" s="8" t="s">
        <v>644</v>
      </c>
      <c r="I8" s="8" t="s">
        <v>645</v>
      </c>
      <c r="J8" s="8" t="s">
        <v>646</v>
      </c>
      <c r="K8" s="8" t="s">
        <v>624</v>
      </c>
      <c r="L8" s="8" t="s">
        <v>647</v>
      </c>
      <c r="M8" s="8" t="s">
        <v>648</v>
      </c>
      <c r="N8" s="5" t="s">
        <v>15</v>
      </c>
    </row>
    <row r="9" spans="1:14" ht="26.5" customHeight="1">
      <c r="A9" s="7">
        <v>8</v>
      </c>
      <c r="B9" s="8" t="s">
        <v>649</v>
      </c>
      <c r="C9" s="117" t="s">
        <v>17</v>
      </c>
      <c r="D9" s="118" t="s">
        <v>21</v>
      </c>
      <c r="E9" s="9" t="s">
        <v>14</v>
      </c>
      <c r="F9" s="9">
        <v>46318</v>
      </c>
      <c r="G9" s="19">
        <v>0.8</v>
      </c>
      <c r="H9" s="8" t="s">
        <v>650</v>
      </c>
      <c r="I9" s="8" t="s">
        <v>651</v>
      </c>
      <c r="J9" s="8" t="s">
        <v>652</v>
      </c>
      <c r="K9" s="8" t="s">
        <v>624</v>
      </c>
      <c r="L9" s="8" t="s">
        <v>653</v>
      </c>
      <c r="M9" s="8" t="s">
        <v>654</v>
      </c>
      <c r="N9" s="5" t="s">
        <v>15</v>
      </c>
    </row>
    <row r="10" spans="1:14" ht="112" customHeight="1">
      <c r="A10" s="7">
        <v>9</v>
      </c>
      <c r="B10" s="7" t="s">
        <v>655</v>
      </c>
      <c r="C10" s="73" t="s">
        <v>656</v>
      </c>
      <c r="D10" s="74" t="s">
        <v>13</v>
      </c>
      <c r="E10" s="9" t="s">
        <v>14</v>
      </c>
      <c r="F10" s="9" t="s">
        <v>657</v>
      </c>
      <c r="G10" s="19">
        <v>0.75</v>
      </c>
      <c r="H10" s="115" t="s">
        <v>658</v>
      </c>
      <c r="I10" s="115" t="s">
        <v>659</v>
      </c>
      <c r="J10" s="115" t="s">
        <v>660</v>
      </c>
      <c r="K10" s="115" t="s">
        <v>661</v>
      </c>
      <c r="L10" s="115" t="s">
        <v>662</v>
      </c>
      <c r="M10" s="115" t="s">
        <v>663</v>
      </c>
      <c r="N10" s="116" t="s">
        <v>664</v>
      </c>
    </row>
    <row r="11" spans="1:14" ht="26.5" customHeight="1">
      <c r="A11" s="7">
        <v>10</v>
      </c>
      <c r="B11" s="8" t="s">
        <v>665</v>
      </c>
      <c r="C11" s="117" t="s">
        <v>67</v>
      </c>
      <c r="D11" s="118" t="s">
        <v>21</v>
      </c>
      <c r="E11" s="9" t="s">
        <v>14</v>
      </c>
      <c r="F11" s="9" t="s">
        <v>291</v>
      </c>
      <c r="G11" s="19">
        <v>1</v>
      </c>
      <c r="H11" s="8" t="s">
        <v>666</v>
      </c>
      <c r="I11" s="8" t="s">
        <v>667</v>
      </c>
      <c r="J11" s="8" t="s">
        <v>668</v>
      </c>
      <c r="K11" s="8" t="s">
        <v>624</v>
      </c>
      <c r="L11" s="8" t="s">
        <v>669</v>
      </c>
      <c r="M11" s="8" t="s">
        <v>670</v>
      </c>
      <c r="N11" s="5" t="s">
        <v>671</v>
      </c>
    </row>
    <row r="12" spans="1:14" ht="39.65" customHeight="1">
      <c r="A12" s="7">
        <v>11</v>
      </c>
      <c r="B12" s="8" t="s">
        <v>672</v>
      </c>
      <c r="C12" s="117" t="s">
        <v>67</v>
      </c>
      <c r="D12" s="118" t="s">
        <v>21</v>
      </c>
      <c r="E12" s="9" t="s">
        <v>14</v>
      </c>
      <c r="F12" s="9" t="s">
        <v>291</v>
      </c>
      <c r="G12" s="19">
        <v>1</v>
      </c>
      <c r="H12" s="8" t="s">
        <v>673</v>
      </c>
      <c r="I12" s="8" t="s">
        <v>674</v>
      </c>
      <c r="J12" s="8" t="s">
        <v>675</v>
      </c>
      <c r="K12" s="8" t="s">
        <v>624</v>
      </c>
      <c r="L12" s="8" t="s">
        <v>676</v>
      </c>
      <c r="M12" s="8" t="s">
        <v>677</v>
      </c>
      <c r="N12" s="5" t="s">
        <v>671</v>
      </c>
    </row>
    <row r="13" spans="1:14" ht="26.5" customHeight="1">
      <c r="A13" s="7">
        <v>12</v>
      </c>
      <c r="B13" s="8" t="s">
        <v>678</v>
      </c>
      <c r="C13" s="73" t="s">
        <v>679</v>
      </c>
      <c r="D13" s="74" t="s">
        <v>13</v>
      </c>
      <c r="E13" s="9" t="s">
        <v>14</v>
      </c>
      <c r="F13" s="9" t="s">
        <v>680</v>
      </c>
      <c r="G13" s="19">
        <v>0.55000000000000004</v>
      </c>
      <c r="H13" s="8" t="s">
        <v>681</v>
      </c>
      <c r="I13" s="8" t="s">
        <v>682</v>
      </c>
      <c r="J13" s="8" t="s">
        <v>683</v>
      </c>
      <c r="K13" s="8" t="s">
        <v>684</v>
      </c>
      <c r="L13" s="8" t="s">
        <v>685</v>
      </c>
      <c r="M13" s="8" t="s">
        <v>686</v>
      </c>
      <c r="N13" s="5" t="s">
        <v>664</v>
      </c>
    </row>
    <row r="14" spans="1:14" ht="26.5" customHeight="1">
      <c r="A14" s="7">
        <v>13</v>
      </c>
      <c r="B14" s="8" t="s">
        <v>687</v>
      </c>
      <c r="C14" s="117" t="s">
        <v>67</v>
      </c>
      <c r="D14" s="118" t="s">
        <v>21</v>
      </c>
      <c r="E14" s="9" t="s">
        <v>14</v>
      </c>
      <c r="F14" s="9" t="s">
        <v>291</v>
      </c>
      <c r="G14" s="19">
        <v>1</v>
      </c>
      <c r="H14" s="8" t="s">
        <v>688</v>
      </c>
      <c r="I14" s="8" t="s">
        <v>689</v>
      </c>
      <c r="J14" s="8" t="s">
        <v>690</v>
      </c>
      <c r="K14" s="8" t="s">
        <v>624</v>
      </c>
      <c r="L14" s="8" t="s">
        <v>691</v>
      </c>
      <c r="M14" s="8" t="s">
        <v>692</v>
      </c>
      <c r="N14" s="5" t="s">
        <v>671</v>
      </c>
    </row>
    <row r="15" spans="1:14" ht="26.5" customHeight="1">
      <c r="A15" s="7">
        <v>14</v>
      </c>
      <c r="B15" s="8" t="s">
        <v>693</v>
      </c>
      <c r="C15" s="117" t="s">
        <v>67</v>
      </c>
      <c r="D15" s="118" t="s">
        <v>21</v>
      </c>
      <c r="E15" s="9" t="s">
        <v>14</v>
      </c>
      <c r="F15" s="9" t="s">
        <v>291</v>
      </c>
      <c r="G15" s="19">
        <v>1</v>
      </c>
      <c r="H15" s="8" t="s">
        <v>694</v>
      </c>
      <c r="I15" s="8" t="s">
        <v>695</v>
      </c>
      <c r="J15" s="8" t="s">
        <v>696</v>
      </c>
      <c r="K15" s="8" t="s">
        <v>624</v>
      </c>
      <c r="L15" s="8" t="s">
        <v>697</v>
      </c>
      <c r="M15" s="8" t="s">
        <v>698</v>
      </c>
      <c r="N15" s="5" t="s">
        <v>671</v>
      </c>
    </row>
    <row r="16" spans="1:14" ht="26.5" customHeight="1">
      <c r="A16" s="7">
        <v>15</v>
      </c>
      <c r="B16" s="8" t="s">
        <v>699</v>
      </c>
      <c r="C16" s="73" t="s">
        <v>17</v>
      </c>
      <c r="D16" s="74" t="s">
        <v>13</v>
      </c>
      <c r="E16" s="9" t="s">
        <v>14</v>
      </c>
      <c r="F16" s="9" t="s">
        <v>14</v>
      </c>
      <c r="G16" s="19">
        <v>0.65</v>
      </c>
      <c r="H16" s="8" t="s">
        <v>700</v>
      </c>
      <c r="I16" s="8" t="s">
        <v>701</v>
      </c>
      <c r="J16" s="8" t="s">
        <v>702</v>
      </c>
      <c r="K16" s="8" t="s">
        <v>624</v>
      </c>
      <c r="L16" s="8" t="s">
        <v>703</v>
      </c>
      <c r="M16" s="8" t="s">
        <v>704</v>
      </c>
      <c r="N16" s="5" t="s">
        <v>671</v>
      </c>
    </row>
    <row r="17" spans="1:14" ht="26.5" customHeight="1">
      <c r="A17" s="7">
        <v>16</v>
      </c>
      <c r="B17" s="8" t="s">
        <v>705</v>
      </c>
      <c r="C17" s="117" t="s">
        <v>67</v>
      </c>
      <c r="D17" s="118" t="s">
        <v>21</v>
      </c>
      <c r="E17" s="9" t="s">
        <v>14</v>
      </c>
      <c r="F17" s="9" t="s">
        <v>291</v>
      </c>
      <c r="G17" s="19">
        <v>1</v>
      </c>
      <c r="H17" s="8" t="s">
        <v>706</v>
      </c>
      <c r="I17" s="8" t="s">
        <v>707</v>
      </c>
      <c r="J17" s="8" t="s">
        <v>708</v>
      </c>
      <c r="K17" s="8" t="s">
        <v>624</v>
      </c>
      <c r="L17" s="8" t="s">
        <v>709</v>
      </c>
      <c r="M17" s="8" t="s">
        <v>710</v>
      </c>
      <c r="N17" s="5" t="s">
        <v>671</v>
      </c>
    </row>
    <row r="18" spans="1:14" ht="120" customHeight="1">
      <c r="A18" s="7">
        <v>17</v>
      </c>
      <c r="B18" s="7" t="s">
        <v>711</v>
      </c>
      <c r="C18" s="73" t="s">
        <v>712</v>
      </c>
      <c r="D18" s="74" t="s">
        <v>13</v>
      </c>
      <c r="E18" s="9" t="s">
        <v>14</v>
      </c>
      <c r="F18" s="9" t="s">
        <v>713</v>
      </c>
      <c r="G18" s="19">
        <v>0.75</v>
      </c>
      <c r="H18" s="115" t="s">
        <v>714</v>
      </c>
      <c r="I18" s="115" t="s">
        <v>715</v>
      </c>
      <c r="J18" s="115" t="s">
        <v>716</v>
      </c>
      <c r="K18" s="115" t="s">
        <v>717</v>
      </c>
      <c r="L18" s="115" t="s">
        <v>718</v>
      </c>
      <c r="M18" s="115" t="s">
        <v>719</v>
      </c>
      <c r="N18" s="116" t="s">
        <v>720</v>
      </c>
    </row>
    <row r="19" spans="1:14" ht="158.5" customHeight="1">
      <c r="A19" s="7">
        <v>18</v>
      </c>
      <c r="B19" s="8" t="s">
        <v>721</v>
      </c>
      <c r="C19" s="117" t="s">
        <v>67</v>
      </c>
      <c r="D19" s="118" t="s">
        <v>21</v>
      </c>
      <c r="E19" s="9" t="s">
        <v>14</v>
      </c>
      <c r="F19" s="9" t="s">
        <v>291</v>
      </c>
      <c r="G19" s="19">
        <v>1</v>
      </c>
      <c r="H19" s="8" t="s">
        <v>722</v>
      </c>
      <c r="I19" s="8" t="s">
        <v>723</v>
      </c>
      <c r="J19" s="8" t="s">
        <v>724</v>
      </c>
      <c r="K19" s="8" t="s">
        <v>624</v>
      </c>
      <c r="L19" s="8" t="s">
        <v>25</v>
      </c>
      <c r="M19" s="8" t="s">
        <v>26</v>
      </c>
      <c r="N19" s="5" t="s">
        <v>27</v>
      </c>
    </row>
    <row r="20" spans="1:14" ht="96" customHeight="1">
      <c r="A20" s="11">
        <v>20</v>
      </c>
      <c r="B20" s="12" t="s">
        <v>725</v>
      </c>
      <c r="C20" s="117" t="s">
        <v>67</v>
      </c>
      <c r="D20" s="118" t="s">
        <v>21</v>
      </c>
      <c r="E20" s="13" t="s">
        <v>14</v>
      </c>
      <c r="F20" s="13" t="s">
        <v>291</v>
      </c>
      <c r="G20" s="14">
        <v>1</v>
      </c>
      <c r="H20" s="12" t="s">
        <v>726</v>
      </c>
      <c r="I20" s="12" t="s">
        <v>727</v>
      </c>
      <c r="J20" s="12" t="s">
        <v>728</v>
      </c>
      <c r="K20" s="12" t="s">
        <v>729</v>
      </c>
      <c r="L20" s="12" t="s">
        <v>730</v>
      </c>
      <c r="M20" s="12" t="s">
        <v>731</v>
      </c>
      <c r="N20" s="12" t="s">
        <v>35</v>
      </c>
    </row>
    <row r="21" spans="1:14" ht="145" customHeight="1">
      <c r="A21" s="11">
        <v>21</v>
      </c>
      <c r="B21" s="11" t="s">
        <v>732</v>
      </c>
      <c r="C21" s="73" t="s">
        <v>733</v>
      </c>
      <c r="D21" s="74" t="s">
        <v>13</v>
      </c>
      <c r="E21" s="13">
        <v>46296</v>
      </c>
      <c r="F21" s="13" t="s">
        <v>734</v>
      </c>
      <c r="G21" s="14">
        <v>0.85</v>
      </c>
      <c r="H21" s="12" t="s">
        <v>735</v>
      </c>
      <c r="I21" s="12" t="s">
        <v>736</v>
      </c>
      <c r="J21" s="12" t="s">
        <v>737</v>
      </c>
      <c r="K21" s="12" t="s">
        <v>738</v>
      </c>
      <c r="L21" s="12" t="s">
        <v>739</v>
      </c>
      <c r="M21" s="12" t="s">
        <v>740</v>
      </c>
      <c r="N21" s="12" t="s">
        <v>741</v>
      </c>
    </row>
    <row r="22" spans="1:14" ht="96" customHeight="1">
      <c r="A22" s="11">
        <v>22</v>
      </c>
      <c r="B22" s="12" t="s">
        <v>742</v>
      </c>
      <c r="C22" s="117" t="s">
        <v>67</v>
      </c>
      <c r="D22" s="118" t="s">
        <v>21</v>
      </c>
      <c r="E22" s="13" t="s">
        <v>743</v>
      </c>
      <c r="F22" s="13" t="s">
        <v>291</v>
      </c>
      <c r="G22" s="14">
        <v>1</v>
      </c>
      <c r="H22" s="12" t="s">
        <v>744</v>
      </c>
      <c r="I22" s="12" t="s">
        <v>745</v>
      </c>
      <c r="J22" s="12" t="s">
        <v>746</v>
      </c>
      <c r="K22" s="12" t="s">
        <v>747</v>
      </c>
      <c r="L22" s="12" t="s">
        <v>748</v>
      </c>
      <c r="M22" s="12" t="s">
        <v>749</v>
      </c>
      <c r="N22" s="12" t="s">
        <v>35</v>
      </c>
    </row>
    <row r="23" spans="1:14" ht="112" customHeight="1">
      <c r="A23" s="11">
        <v>23</v>
      </c>
      <c r="B23" s="12" t="s">
        <v>750</v>
      </c>
      <c r="C23" s="73" t="s">
        <v>751</v>
      </c>
      <c r="D23" s="74" t="s">
        <v>13</v>
      </c>
      <c r="E23" s="13" t="s">
        <v>752</v>
      </c>
      <c r="F23" s="13" t="s">
        <v>753</v>
      </c>
      <c r="G23" s="14">
        <v>0.75</v>
      </c>
      <c r="H23" s="12" t="s">
        <v>754</v>
      </c>
      <c r="I23" s="12" t="s">
        <v>755</v>
      </c>
      <c r="J23" s="12" t="s">
        <v>756</v>
      </c>
      <c r="K23" s="12" t="s">
        <v>757</v>
      </c>
      <c r="L23" s="12" t="s">
        <v>758</v>
      </c>
      <c r="M23" s="12" t="s">
        <v>759</v>
      </c>
      <c r="N23" s="12" t="s">
        <v>760</v>
      </c>
    </row>
    <row r="24" spans="1:14" ht="96" customHeight="1">
      <c r="A24" s="11">
        <v>23</v>
      </c>
      <c r="B24" s="12" t="s">
        <v>750</v>
      </c>
      <c r="C24" s="73" t="s">
        <v>761</v>
      </c>
      <c r="D24" s="74" t="s">
        <v>13</v>
      </c>
      <c r="E24" s="13">
        <v>46308</v>
      </c>
      <c r="F24" s="13" t="s">
        <v>762</v>
      </c>
      <c r="G24" s="14">
        <v>0.85</v>
      </c>
      <c r="H24" s="12" t="s">
        <v>763</v>
      </c>
      <c r="I24" s="12" t="s">
        <v>764</v>
      </c>
      <c r="J24" s="12" t="s">
        <v>765</v>
      </c>
      <c r="K24" s="12" t="s">
        <v>766</v>
      </c>
      <c r="L24" s="12" t="s">
        <v>767</v>
      </c>
      <c r="M24" s="12" t="s">
        <v>768</v>
      </c>
      <c r="N24" s="12" t="s">
        <v>664</v>
      </c>
    </row>
    <row r="25" spans="1:14" ht="96" customHeight="1">
      <c r="A25" s="11">
        <v>25</v>
      </c>
      <c r="B25" s="12" t="s">
        <v>769</v>
      </c>
      <c r="C25" s="73" t="s">
        <v>770</v>
      </c>
      <c r="D25" s="74" t="s">
        <v>13</v>
      </c>
      <c r="E25" s="13" t="s">
        <v>69</v>
      </c>
      <c r="F25" s="13" t="s">
        <v>14</v>
      </c>
      <c r="G25" s="14">
        <v>0.7</v>
      </c>
      <c r="H25" s="12" t="s">
        <v>771</v>
      </c>
      <c r="I25" s="12" t="s">
        <v>772</v>
      </c>
      <c r="J25" s="12" t="s">
        <v>773</v>
      </c>
      <c r="K25" s="12" t="s">
        <v>774</v>
      </c>
      <c r="L25" s="12" t="s">
        <v>775</v>
      </c>
      <c r="M25" s="12" t="s">
        <v>776</v>
      </c>
      <c r="N25" s="12" t="s">
        <v>35</v>
      </c>
    </row>
    <row r="26" spans="1:14" ht="96" customHeight="1">
      <c r="A26" s="11">
        <v>26</v>
      </c>
      <c r="B26" s="12" t="s">
        <v>777</v>
      </c>
      <c r="C26" s="73" t="s">
        <v>17</v>
      </c>
      <c r="D26" s="74" t="s">
        <v>13</v>
      </c>
      <c r="E26" s="13" t="s">
        <v>14</v>
      </c>
      <c r="F26" s="13" t="s">
        <v>14</v>
      </c>
      <c r="G26" s="14">
        <v>0.7</v>
      </c>
      <c r="H26" s="12" t="s">
        <v>778</v>
      </c>
      <c r="I26" s="12" t="s">
        <v>779</v>
      </c>
      <c r="J26" s="12" t="s">
        <v>780</v>
      </c>
      <c r="K26" s="12" t="s">
        <v>781</v>
      </c>
      <c r="L26" s="12" t="s">
        <v>782</v>
      </c>
      <c r="M26" s="12" t="s">
        <v>783</v>
      </c>
      <c r="N26" s="12" t="s">
        <v>784</v>
      </c>
    </row>
    <row r="27" spans="1:14" ht="112" customHeight="1">
      <c r="A27" s="119">
        <v>26</v>
      </c>
      <c r="B27" s="119" t="s">
        <v>785</v>
      </c>
      <c r="C27" s="73" t="s">
        <v>786</v>
      </c>
      <c r="D27" s="74" t="s">
        <v>13</v>
      </c>
      <c r="E27" s="120" t="s">
        <v>14</v>
      </c>
      <c r="F27" s="120" t="s">
        <v>787</v>
      </c>
      <c r="G27" s="121">
        <v>0.55000000000000004</v>
      </c>
      <c r="H27" s="122" t="s">
        <v>788</v>
      </c>
      <c r="I27" s="122" t="s">
        <v>789</v>
      </c>
      <c r="J27" s="122" t="s">
        <v>790</v>
      </c>
      <c r="K27" s="122" t="s">
        <v>791</v>
      </c>
      <c r="L27" s="122" t="s">
        <v>792</v>
      </c>
      <c r="M27" s="122" t="s">
        <v>793</v>
      </c>
      <c r="N27" s="122" t="s">
        <v>664</v>
      </c>
    </row>
    <row r="28" spans="1:14" ht="165" customHeight="1">
      <c r="A28" s="15">
        <v>27</v>
      </c>
      <c r="B28" s="15" t="s">
        <v>794</v>
      </c>
      <c r="C28" s="75" t="s">
        <v>795</v>
      </c>
      <c r="D28" s="75" t="s">
        <v>260</v>
      </c>
      <c r="E28" s="16">
        <v>46304</v>
      </c>
      <c r="F28" s="15" t="s">
        <v>796</v>
      </c>
      <c r="G28" s="17">
        <v>0.45</v>
      </c>
      <c r="H28" s="116" t="s">
        <v>797</v>
      </c>
      <c r="I28" s="116" t="s">
        <v>798</v>
      </c>
      <c r="J28" s="116" t="s">
        <v>799</v>
      </c>
      <c r="K28" s="116" t="s">
        <v>800</v>
      </c>
      <c r="L28" s="116" t="s">
        <v>801</v>
      </c>
      <c r="M28" s="116" t="s">
        <v>802</v>
      </c>
      <c r="N28" s="116" t="s">
        <v>664</v>
      </c>
    </row>
    <row r="29" spans="1:14" ht="182">
      <c r="A29" s="15">
        <v>28</v>
      </c>
      <c r="B29" s="5" t="s">
        <v>803</v>
      </c>
      <c r="C29" s="73" t="s">
        <v>804</v>
      </c>
      <c r="D29" s="74" t="s">
        <v>13</v>
      </c>
      <c r="E29" s="16" t="s">
        <v>14</v>
      </c>
      <c r="F29" s="15" t="s">
        <v>805</v>
      </c>
      <c r="G29" s="17">
        <v>0.65</v>
      </c>
      <c r="H29" s="5" t="s">
        <v>806</v>
      </c>
      <c r="I29" s="5" t="s">
        <v>807</v>
      </c>
      <c r="J29" s="5" t="s">
        <v>808</v>
      </c>
      <c r="K29" s="5" t="s">
        <v>809</v>
      </c>
      <c r="L29" s="5" t="s">
        <v>810</v>
      </c>
      <c r="M29" s="5" t="s">
        <v>811</v>
      </c>
      <c r="N29" s="5" t="s">
        <v>664</v>
      </c>
    </row>
    <row r="30" spans="1:14" ht="42">
      <c r="A30" s="15">
        <v>30</v>
      </c>
      <c r="B30" s="5" t="s">
        <v>812</v>
      </c>
      <c r="C30" s="117" t="s">
        <v>67</v>
      </c>
      <c r="D30" s="118" t="s">
        <v>21</v>
      </c>
      <c r="E30" s="16" t="s">
        <v>14</v>
      </c>
      <c r="F30" s="15" t="s">
        <v>291</v>
      </c>
      <c r="G30" s="17">
        <v>1</v>
      </c>
      <c r="H30" s="5" t="s">
        <v>813</v>
      </c>
      <c r="I30" s="5" t="s">
        <v>814</v>
      </c>
      <c r="J30" s="5" t="s">
        <v>815</v>
      </c>
      <c r="K30" s="5" t="s">
        <v>816</v>
      </c>
      <c r="L30" s="5" t="s">
        <v>817</v>
      </c>
      <c r="M30" s="5" t="s">
        <v>818</v>
      </c>
      <c r="N30" s="5" t="s">
        <v>819</v>
      </c>
    </row>
    <row r="31" spans="1:14" ht="70">
      <c r="A31" s="15">
        <v>31</v>
      </c>
      <c r="B31" s="5" t="s">
        <v>820</v>
      </c>
      <c r="C31" s="117" t="s">
        <v>67</v>
      </c>
      <c r="D31" s="118" t="s">
        <v>21</v>
      </c>
      <c r="E31" s="16" t="s">
        <v>14</v>
      </c>
      <c r="F31" s="15" t="s">
        <v>291</v>
      </c>
      <c r="G31" s="17">
        <v>1</v>
      </c>
      <c r="H31" s="5" t="s">
        <v>821</v>
      </c>
      <c r="I31" s="5" t="s">
        <v>822</v>
      </c>
      <c r="J31" s="5" t="s">
        <v>823</v>
      </c>
      <c r="K31" s="5" t="s">
        <v>824</v>
      </c>
      <c r="L31" s="5" t="s">
        <v>825</v>
      </c>
      <c r="M31" s="5" t="s">
        <v>826</v>
      </c>
      <c r="N31" s="5" t="s">
        <v>819</v>
      </c>
    </row>
    <row r="32" spans="1:14" ht="56">
      <c r="A32" s="15">
        <v>32</v>
      </c>
      <c r="B32" s="5" t="s">
        <v>827</v>
      </c>
      <c r="C32" s="117" t="s">
        <v>67</v>
      </c>
      <c r="D32" s="118" t="s">
        <v>21</v>
      </c>
      <c r="E32" s="16" t="s">
        <v>14</v>
      </c>
      <c r="F32" s="15" t="s">
        <v>14</v>
      </c>
      <c r="G32" s="17">
        <v>0.6</v>
      </c>
      <c r="H32" s="5" t="s">
        <v>828</v>
      </c>
      <c r="I32" s="5" t="s">
        <v>829</v>
      </c>
      <c r="J32" s="5" t="s">
        <v>830</v>
      </c>
      <c r="K32" s="5" t="s">
        <v>831</v>
      </c>
      <c r="L32" s="5" t="s">
        <v>832</v>
      </c>
      <c r="M32" s="5" t="s">
        <v>833</v>
      </c>
      <c r="N32" s="5" t="s">
        <v>819</v>
      </c>
    </row>
    <row r="33" spans="1:14" ht="140">
      <c r="A33" s="15">
        <v>33</v>
      </c>
      <c r="B33" s="5" t="s">
        <v>834</v>
      </c>
      <c r="C33" s="73" t="s">
        <v>835</v>
      </c>
      <c r="D33" s="74" t="s">
        <v>13</v>
      </c>
      <c r="E33" s="16" t="s">
        <v>14</v>
      </c>
      <c r="F33" s="15" t="s">
        <v>836</v>
      </c>
      <c r="G33" s="17">
        <v>0.35</v>
      </c>
      <c r="H33" s="5" t="s">
        <v>837</v>
      </c>
      <c r="I33" s="5" t="s">
        <v>838</v>
      </c>
      <c r="J33" s="5" t="s">
        <v>839</v>
      </c>
      <c r="K33" s="5" t="s">
        <v>840</v>
      </c>
      <c r="L33" s="5" t="s">
        <v>841</v>
      </c>
      <c r="M33" s="5" t="s">
        <v>842</v>
      </c>
      <c r="N33" s="5" t="s">
        <v>843</v>
      </c>
    </row>
    <row r="34" spans="1:14" ht="130" customHeight="1">
      <c r="A34" s="15">
        <v>34</v>
      </c>
      <c r="B34" s="15" t="s">
        <v>844</v>
      </c>
      <c r="C34" s="73" t="s">
        <v>845</v>
      </c>
      <c r="D34" s="74" t="s">
        <v>13</v>
      </c>
      <c r="E34" s="16">
        <v>46297</v>
      </c>
      <c r="F34" s="15" t="s">
        <v>14</v>
      </c>
      <c r="G34" s="17">
        <v>0.7</v>
      </c>
      <c r="H34" s="116" t="s">
        <v>846</v>
      </c>
      <c r="I34" s="116" t="s">
        <v>847</v>
      </c>
      <c r="J34" s="116" t="s">
        <v>848</v>
      </c>
      <c r="K34" s="116" t="s">
        <v>849</v>
      </c>
      <c r="L34" s="116" t="s">
        <v>850</v>
      </c>
      <c r="M34" s="116" t="s">
        <v>851</v>
      </c>
      <c r="N34" s="116" t="s">
        <v>852</v>
      </c>
    </row>
    <row r="35" spans="1:14" ht="112" customHeight="1">
      <c r="A35" s="15">
        <v>35</v>
      </c>
      <c r="B35" s="15" t="s">
        <v>853</v>
      </c>
      <c r="C35" s="73" t="s">
        <v>854</v>
      </c>
      <c r="D35" s="74" t="s">
        <v>13</v>
      </c>
      <c r="E35" s="16" t="s">
        <v>752</v>
      </c>
      <c r="F35" s="16" t="s">
        <v>855</v>
      </c>
      <c r="G35" s="17">
        <v>0.7</v>
      </c>
      <c r="H35" s="116" t="s">
        <v>856</v>
      </c>
      <c r="I35" s="116" t="s">
        <v>857</v>
      </c>
      <c r="J35" s="116" t="s">
        <v>858</v>
      </c>
      <c r="K35" s="116" t="s">
        <v>859</v>
      </c>
      <c r="L35" s="116" t="s">
        <v>860</v>
      </c>
      <c r="M35" s="116" t="s">
        <v>861</v>
      </c>
      <c r="N35" s="116" t="s">
        <v>862</v>
      </c>
    </row>
    <row r="36" spans="1:14" ht="130" customHeight="1">
      <c r="A36" s="15">
        <v>35</v>
      </c>
      <c r="B36" s="15" t="s">
        <v>853</v>
      </c>
      <c r="C36" s="75" t="s">
        <v>863</v>
      </c>
      <c r="D36" s="75" t="s">
        <v>260</v>
      </c>
      <c r="E36" s="16">
        <v>46308</v>
      </c>
      <c r="F36" s="15" t="s">
        <v>864</v>
      </c>
      <c r="G36" s="17">
        <v>0.6</v>
      </c>
      <c r="H36" s="116" t="s">
        <v>865</v>
      </c>
      <c r="I36" s="116" t="s">
        <v>866</v>
      </c>
      <c r="J36" s="116" t="s">
        <v>867</v>
      </c>
      <c r="K36" s="116" t="s">
        <v>868</v>
      </c>
      <c r="L36" s="116" t="s">
        <v>869</v>
      </c>
      <c r="M36" s="116" t="s">
        <v>870</v>
      </c>
      <c r="N36" s="116" t="s">
        <v>664</v>
      </c>
    </row>
    <row r="37" spans="1:14" ht="112" customHeight="1">
      <c r="A37" s="15">
        <v>37</v>
      </c>
      <c r="B37" s="15" t="s">
        <v>871</v>
      </c>
      <c r="C37" s="73" t="s">
        <v>872</v>
      </c>
      <c r="D37" s="74" t="s">
        <v>13</v>
      </c>
      <c r="E37" s="16" t="s">
        <v>14</v>
      </c>
      <c r="F37" s="16" t="s">
        <v>873</v>
      </c>
      <c r="G37" s="17">
        <v>0.7</v>
      </c>
      <c r="H37" s="116" t="s">
        <v>874</v>
      </c>
      <c r="I37" s="116" t="s">
        <v>875</v>
      </c>
      <c r="J37" s="116" t="s">
        <v>876</v>
      </c>
      <c r="K37" s="116" t="s">
        <v>877</v>
      </c>
      <c r="L37" s="116" t="s">
        <v>878</v>
      </c>
      <c r="M37" s="116" t="s">
        <v>879</v>
      </c>
      <c r="N37" s="116" t="s">
        <v>880</v>
      </c>
    </row>
    <row r="38" spans="1:14" ht="130" customHeight="1">
      <c r="A38" s="15">
        <v>37</v>
      </c>
      <c r="B38" s="15" t="s">
        <v>871</v>
      </c>
      <c r="C38" s="73" t="s">
        <v>881</v>
      </c>
      <c r="D38" s="74" t="s">
        <v>13</v>
      </c>
      <c r="E38" s="16" t="s">
        <v>14</v>
      </c>
      <c r="F38" s="15" t="s">
        <v>882</v>
      </c>
      <c r="G38" s="17">
        <v>0.85</v>
      </c>
      <c r="H38" s="116" t="s">
        <v>883</v>
      </c>
      <c r="I38" s="116" t="s">
        <v>884</v>
      </c>
      <c r="J38" s="116" t="s">
        <v>885</v>
      </c>
      <c r="K38" s="116" t="s">
        <v>877</v>
      </c>
      <c r="L38" s="116" t="s">
        <v>886</v>
      </c>
      <c r="M38" s="116" t="s">
        <v>887</v>
      </c>
      <c r="N38" s="116" t="s">
        <v>664</v>
      </c>
    </row>
    <row r="39" spans="1:14" ht="130" customHeight="1">
      <c r="A39" s="15">
        <v>39</v>
      </c>
      <c r="B39" s="15" t="s">
        <v>888</v>
      </c>
      <c r="C39" s="73" t="s">
        <v>889</v>
      </c>
      <c r="D39" s="74" t="s">
        <v>13</v>
      </c>
      <c r="E39" s="16">
        <v>46297</v>
      </c>
      <c r="F39" s="15" t="s">
        <v>890</v>
      </c>
      <c r="G39" s="17">
        <v>0.55000000000000004</v>
      </c>
      <c r="H39" s="116" t="s">
        <v>891</v>
      </c>
      <c r="I39" s="116" t="s">
        <v>892</v>
      </c>
      <c r="J39" s="116" t="s">
        <v>893</v>
      </c>
      <c r="K39" s="116" t="s">
        <v>894</v>
      </c>
      <c r="L39" s="116" t="s">
        <v>895</v>
      </c>
      <c r="M39" s="116" t="s">
        <v>896</v>
      </c>
      <c r="N39" s="116" t="s">
        <v>843</v>
      </c>
    </row>
    <row r="40" spans="1:14" ht="130" customHeight="1">
      <c r="A40" s="15">
        <v>40</v>
      </c>
      <c r="B40" s="15" t="s">
        <v>897</v>
      </c>
      <c r="C40" s="117" t="s">
        <v>67</v>
      </c>
      <c r="D40" s="118" t="s">
        <v>21</v>
      </c>
      <c r="E40" s="16">
        <v>46297</v>
      </c>
      <c r="F40" s="15" t="s">
        <v>291</v>
      </c>
      <c r="G40" s="17">
        <v>1</v>
      </c>
      <c r="H40" s="116" t="s">
        <v>898</v>
      </c>
      <c r="I40" s="116" t="s">
        <v>899</v>
      </c>
      <c r="J40" s="116" t="s">
        <v>900</v>
      </c>
      <c r="K40" s="116" t="s">
        <v>901</v>
      </c>
      <c r="L40" s="116" t="s">
        <v>902</v>
      </c>
      <c r="M40" s="116" t="s">
        <v>903</v>
      </c>
      <c r="N40" s="116" t="s">
        <v>852</v>
      </c>
    </row>
    <row r="41" spans="1:14" ht="112" customHeight="1">
      <c r="A41" s="15">
        <v>41</v>
      </c>
      <c r="B41" s="15" t="s">
        <v>904</v>
      </c>
      <c r="C41" s="117" t="s">
        <v>905</v>
      </c>
      <c r="D41" s="118" t="s">
        <v>21</v>
      </c>
      <c r="E41" s="16" t="s">
        <v>14</v>
      </c>
      <c r="F41" s="16" t="s">
        <v>906</v>
      </c>
      <c r="G41" s="17">
        <v>0.75</v>
      </c>
      <c r="H41" s="116" t="s">
        <v>907</v>
      </c>
      <c r="I41" s="116" t="s">
        <v>908</v>
      </c>
      <c r="J41" s="116" t="s">
        <v>909</v>
      </c>
      <c r="K41" s="116" t="s">
        <v>910</v>
      </c>
      <c r="L41" s="116" t="s">
        <v>911</v>
      </c>
      <c r="M41" s="116" t="s">
        <v>912</v>
      </c>
      <c r="N41" s="116" t="s">
        <v>619</v>
      </c>
    </row>
    <row r="42" spans="1:14" ht="130" customHeight="1">
      <c r="A42" s="15">
        <v>42</v>
      </c>
      <c r="B42" s="15" t="s">
        <v>913</v>
      </c>
      <c r="C42" s="73" t="s">
        <v>914</v>
      </c>
      <c r="D42" s="74" t="s">
        <v>13</v>
      </c>
      <c r="E42" s="16" t="s">
        <v>14</v>
      </c>
      <c r="F42" s="15" t="s">
        <v>915</v>
      </c>
      <c r="G42" s="17">
        <v>0.7</v>
      </c>
      <c r="H42" s="116" t="s">
        <v>916</v>
      </c>
      <c r="I42" s="116" t="s">
        <v>917</v>
      </c>
      <c r="J42" s="116" t="s">
        <v>918</v>
      </c>
      <c r="K42" s="116" t="s">
        <v>919</v>
      </c>
      <c r="L42" s="116" t="s">
        <v>920</v>
      </c>
      <c r="M42" s="116" t="s">
        <v>921</v>
      </c>
      <c r="N42" s="116" t="s">
        <v>922</v>
      </c>
    </row>
    <row r="43" spans="1:14" ht="130" customHeight="1">
      <c r="A43" s="15">
        <v>43</v>
      </c>
      <c r="B43" s="15" t="s">
        <v>923</v>
      </c>
      <c r="C43" s="73" t="s">
        <v>924</v>
      </c>
      <c r="D43" s="74" t="s">
        <v>13</v>
      </c>
      <c r="E43" s="16" t="s">
        <v>14</v>
      </c>
      <c r="F43" s="15" t="s">
        <v>915</v>
      </c>
      <c r="G43" s="17">
        <v>0.7</v>
      </c>
      <c r="H43" s="116" t="s">
        <v>925</v>
      </c>
      <c r="I43" s="116" t="s">
        <v>926</v>
      </c>
      <c r="J43" s="116" t="s">
        <v>927</v>
      </c>
      <c r="K43" s="116" t="s">
        <v>928</v>
      </c>
      <c r="L43" s="116" t="s">
        <v>929</v>
      </c>
      <c r="M43" s="116" t="s">
        <v>930</v>
      </c>
      <c r="N43" s="116" t="s">
        <v>922</v>
      </c>
    </row>
    <row r="44" spans="1:14" ht="130" customHeight="1">
      <c r="A44" s="15">
        <v>44</v>
      </c>
      <c r="B44" s="15" t="s">
        <v>931</v>
      </c>
      <c r="C44" s="73" t="s">
        <v>932</v>
      </c>
      <c r="D44" s="74" t="s">
        <v>13</v>
      </c>
      <c r="E44" s="16" t="s">
        <v>14</v>
      </c>
      <c r="F44" s="15" t="s">
        <v>933</v>
      </c>
      <c r="G44" s="17">
        <v>0.7</v>
      </c>
      <c r="H44" s="116" t="s">
        <v>934</v>
      </c>
      <c r="I44" s="116" t="s">
        <v>935</v>
      </c>
      <c r="J44" s="116" t="s">
        <v>936</v>
      </c>
      <c r="K44" s="116" t="s">
        <v>937</v>
      </c>
      <c r="L44" s="116" t="s">
        <v>938</v>
      </c>
      <c r="M44" s="116" t="s">
        <v>939</v>
      </c>
      <c r="N44" s="116" t="s">
        <v>922</v>
      </c>
    </row>
    <row r="45" spans="1:14" ht="130" customHeight="1">
      <c r="A45" s="15">
        <v>45</v>
      </c>
      <c r="B45" s="15" t="s">
        <v>940</v>
      </c>
      <c r="C45" s="73" t="s">
        <v>941</v>
      </c>
      <c r="D45" s="74" t="s">
        <v>13</v>
      </c>
      <c r="E45" s="16">
        <v>46299</v>
      </c>
      <c r="F45" s="15" t="s">
        <v>14</v>
      </c>
      <c r="G45" s="17">
        <v>0.7</v>
      </c>
      <c r="H45" s="116" t="s">
        <v>942</v>
      </c>
      <c r="I45" s="116" t="s">
        <v>943</v>
      </c>
      <c r="J45" s="116" t="s">
        <v>944</v>
      </c>
      <c r="K45" s="116" t="s">
        <v>945</v>
      </c>
      <c r="L45" s="116" t="s">
        <v>946</v>
      </c>
      <c r="M45" s="116" t="s">
        <v>947</v>
      </c>
      <c r="N45" s="116" t="s">
        <v>948</v>
      </c>
    </row>
    <row r="46" spans="1:14" ht="130" customHeight="1">
      <c r="A46" s="15">
        <v>46</v>
      </c>
      <c r="B46" s="15" t="s">
        <v>949</v>
      </c>
      <c r="C46" s="73" t="s">
        <v>950</v>
      </c>
      <c r="D46" s="74" t="s">
        <v>13</v>
      </c>
      <c r="E46" s="16">
        <v>46299</v>
      </c>
      <c r="F46" s="15" t="s">
        <v>14</v>
      </c>
      <c r="G46" s="17">
        <v>0.7</v>
      </c>
      <c r="H46" s="116" t="s">
        <v>951</v>
      </c>
      <c r="I46" s="116" t="s">
        <v>952</v>
      </c>
      <c r="J46" s="116" t="s">
        <v>953</v>
      </c>
      <c r="K46" s="116" t="s">
        <v>954</v>
      </c>
      <c r="L46" s="116" t="s">
        <v>955</v>
      </c>
      <c r="M46" s="116" t="s">
        <v>956</v>
      </c>
      <c r="N46" s="116" t="s">
        <v>948</v>
      </c>
    </row>
    <row r="47" spans="1:14" ht="130" customHeight="1">
      <c r="A47" s="15">
        <v>47</v>
      </c>
      <c r="B47" s="15" t="s">
        <v>957</v>
      </c>
      <c r="C47" s="73" t="s">
        <v>958</v>
      </c>
      <c r="D47" s="74" t="s">
        <v>13</v>
      </c>
      <c r="E47" s="16" t="s">
        <v>14</v>
      </c>
      <c r="F47" s="15" t="s">
        <v>959</v>
      </c>
      <c r="G47" s="17">
        <v>0.6</v>
      </c>
      <c r="H47" s="116" t="s">
        <v>960</v>
      </c>
      <c r="I47" s="116" t="s">
        <v>961</v>
      </c>
      <c r="J47" s="116" t="s">
        <v>962</v>
      </c>
      <c r="K47" s="116" t="s">
        <v>963</v>
      </c>
      <c r="L47" s="116" t="s">
        <v>964</v>
      </c>
      <c r="M47" s="116" t="s">
        <v>965</v>
      </c>
      <c r="N47" s="116" t="s">
        <v>922</v>
      </c>
    </row>
    <row r="48" spans="1:14" ht="130" customHeight="1">
      <c r="A48" s="15">
        <v>48</v>
      </c>
      <c r="B48" s="15" t="s">
        <v>966</v>
      </c>
      <c r="C48" s="73" t="s">
        <v>967</v>
      </c>
      <c r="D48" s="74" t="s">
        <v>13</v>
      </c>
      <c r="E48" s="16" t="s">
        <v>14</v>
      </c>
      <c r="F48" s="15" t="s">
        <v>968</v>
      </c>
      <c r="G48" s="17">
        <v>0.7</v>
      </c>
      <c r="H48" s="116" t="s">
        <v>969</v>
      </c>
      <c r="I48" s="116" t="s">
        <v>970</v>
      </c>
      <c r="J48" s="116" t="s">
        <v>971</v>
      </c>
      <c r="K48" s="116" t="s">
        <v>972</v>
      </c>
      <c r="L48" s="116" t="s">
        <v>973</v>
      </c>
      <c r="M48" s="116" t="s">
        <v>974</v>
      </c>
      <c r="N48" s="116" t="s">
        <v>922</v>
      </c>
    </row>
    <row r="49" spans="1:14" ht="130" customHeight="1">
      <c r="A49" s="15">
        <v>49</v>
      </c>
      <c r="B49" s="15" t="s">
        <v>975</v>
      </c>
      <c r="C49" s="73" t="s">
        <v>976</v>
      </c>
      <c r="D49" s="74" t="s">
        <v>13</v>
      </c>
      <c r="E49" s="16" t="s">
        <v>14</v>
      </c>
      <c r="F49" s="15" t="s">
        <v>977</v>
      </c>
      <c r="G49" s="17">
        <v>0.7</v>
      </c>
      <c r="H49" s="116" t="s">
        <v>978</v>
      </c>
      <c r="I49" s="116" t="s">
        <v>979</v>
      </c>
      <c r="J49" s="116" t="s">
        <v>980</v>
      </c>
      <c r="K49" s="116" t="s">
        <v>981</v>
      </c>
      <c r="L49" s="116" t="s">
        <v>982</v>
      </c>
      <c r="M49" s="116" t="s">
        <v>983</v>
      </c>
      <c r="N49" s="116" t="s">
        <v>922</v>
      </c>
    </row>
    <row r="50" spans="1:14" ht="130" customHeight="1">
      <c r="A50" s="15">
        <v>50</v>
      </c>
      <c r="B50" s="15" t="s">
        <v>984</v>
      </c>
      <c r="C50" s="73" t="s">
        <v>985</v>
      </c>
      <c r="D50" s="74" t="s">
        <v>13</v>
      </c>
      <c r="E50" s="16">
        <v>46299</v>
      </c>
      <c r="F50" s="15" t="s">
        <v>14</v>
      </c>
      <c r="G50" s="17">
        <v>0.7</v>
      </c>
      <c r="H50" s="116" t="s">
        <v>986</v>
      </c>
      <c r="I50" s="116" t="s">
        <v>987</v>
      </c>
      <c r="J50" s="116" t="s">
        <v>988</v>
      </c>
      <c r="K50" s="116" t="s">
        <v>989</v>
      </c>
      <c r="L50" s="116" t="s">
        <v>990</v>
      </c>
      <c r="M50" s="116" t="s">
        <v>991</v>
      </c>
      <c r="N50" s="116" t="s">
        <v>948</v>
      </c>
    </row>
    <row r="51" spans="1:14" ht="130" customHeight="1">
      <c r="A51" s="15">
        <v>51</v>
      </c>
      <c r="B51" s="15" t="s">
        <v>992</v>
      </c>
      <c r="C51" s="73" t="s">
        <v>993</v>
      </c>
      <c r="D51" s="74" t="s">
        <v>13</v>
      </c>
      <c r="E51" s="16">
        <v>46299</v>
      </c>
      <c r="F51" s="15" t="s">
        <v>14</v>
      </c>
      <c r="G51" s="17">
        <v>0.7</v>
      </c>
      <c r="H51" s="116" t="s">
        <v>994</v>
      </c>
      <c r="I51" s="116" t="s">
        <v>995</v>
      </c>
      <c r="J51" s="116" t="s">
        <v>996</v>
      </c>
      <c r="K51" s="116" t="s">
        <v>997</v>
      </c>
      <c r="L51" s="116" t="s">
        <v>998</v>
      </c>
      <c r="M51" s="116" t="s">
        <v>999</v>
      </c>
      <c r="N51" s="116" t="s">
        <v>948</v>
      </c>
    </row>
    <row r="52" spans="1:14" ht="112" customHeight="1">
      <c r="A52" s="15">
        <v>52</v>
      </c>
      <c r="B52" s="15" t="s">
        <v>1000</v>
      </c>
      <c r="C52" s="73" t="s">
        <v>1001</v>
      </c>
      <c r="D52" s="74" t="s">
        <v>13</v>
      </c>
      <c r="E52" s="16" t="s">
        <v>1002</v>
      </c>
      <c r="F52" s="16" t="s">
        <v>1003</v>
      </c>
      <c r="G52" s="17">
        <v>0.5</v>
      </c>
      <c r="H52" s="116" t="s">
        <v>1004</v>
      </c>
      <c r="I52" s="116" t="s">
        <v>1005</v>
      </c>
      <c r="J52" s="116" t="s">
        <v>1006</v>
      </c>
      <c r="K52" s="116" t="s">
        <v>1007</v>
      </c>
      <c r="L52" s="116" t="s">
        <v>1008</v>
      </c>
      <c r="M52" s="116" t="s">
        <v>1009</v>
      </c>
      <c r="N52" s="116" t="s">
        <v>862</v>
      </c>
    </row>
    <row r="53" spans="1:14" ht="112" customHeight="1">
      <c r="A53" s="15">
        <v>52</v>
      </c>
      <c r="B53" s="15" t="s">
        <v>1000</v>
      </c>
      <c r="C53" s="75" t="s">
        <v>1010</v>
      </c>
      <c r="D53" s="75" t="s">
        <v>260</v>
      </c>
      <c r="E53" s="16">
        <v>46304</v>
      </c>
      <c r="F53" s="16" t="s">
        <v>1011</v>
      </c>
      <c r="G53" s="17">
        <v>0.4</v>
      </c>
      <c r="H53" s="116" t="s">
        <v>1012</v>
      </c>
      <c r="I53" s="116" t="s">
        <v>1013</v>
      </c>
      <c r="J53" s="116" t="s">
        <v>1014</v>
      </c>
      <c r="K53" s="116" t="s">
        <v>1015</v>
      </c>
      <c r="L53" s="116" t="s">
        <v>1016</v>
      </c>
      <c r="M53" s="116" t="s">
        <v>1017</v>
      </c>
      <c r="N53" s="116" t="s">
        <v>664</v>
      </c>
    </row>
    <row r="54" spans="1:14" ht="112" customHeight="1">
      <c r="A54" s="15">
        <v>54</v>
      </c>
      <c r="B54" s="15" t="s">
        <v>1018</v>
      </c>
      <c r="C54" s="73" t="s">
        <v>1019</v>
      </c>
      <c r="D54" s="74" t="s">
        <v>13</v>
      </c>
      <c r="E54" s="16" t="s">
        <v>1002</v>
      </c>
      <c r="F54" s="16" t="s">
        <v>1020</v>
      </c>
      <c r="G54" s="17">
        <v>0.7</v>
      </c>
      <c r="H54" s="116" t="s">
        <v>1021</v>
      </c>
      <c r="I54" s="116" t="s">
        <v>1022</v>
      </c>
      <c r="J54" s="116" t="s">
        <v>1023</v>
      </c>
      <c r="K54" s="116" t="s">
        <v>1024</v>
      </c>
      <c r="L54" s="116" t="s">
        <v>1025</v>
      </c>
      <c r="M54" s="116" t="s">
        <v>1026</v>
      </c>
      <c r="N54" s="116" t="s">
        <v>1027</v>
      </c>
    </row>
    <row r="55" spans="1:14" ht="112" customHeight="1">
      <c r="A55" s="15">
        <v>54</v>
      </c>
      <c r="B55" s="15" t="s">
        <v>1018</v>
      </c>
      <c r="C55" s="75" t="s">
        <v>1028</v>
      </c>
      <c r="D55" s="75" t="s">
        <v>260</v>
      </c>
      <c r="E55" s="16">
        <v>46304</v>
      </c>
      <c r="F55" s="16" t="s">
        <v>1029</v>
      </c>
      <c r="G55" s="17">
        <v>0.45</v>
      </c>
      <c r="H55" s="116" t="s">
        <v>1030</v>
      </c>
      <c r="I55" s="116" t="s">
        <v>1031</v>
      </c>
      <c r="J55" s="116" t="s">
        <v>1032</v>
      </c>
      <c r="K55" s="116" t="s">
        <v>1033</v>
      </c>
      <c r="L55" s="116" t="s">
        <v>1034</v>
      </c>
      <c r="M55" s="116" t="s">
        <v>1035</v>
      </c>
      <c r="N55" s="116" t="s">
        <v>664</v>
      </c>
    </row>
    <row r="56" spans="1:14" ht="112" customHeight="1">
      <c r="A56" s="15">
        <v>55</v>
      </c>
      <c r="B56" s="15" t="s">
        <v>1036</v>
      </c>
      <c r="C56" s="73" t="s">
        <v>1037</v>
      </c>
      <c r="D56" s="74" t="s">
        <v>13</v>
      </c>
      <c r="E56" s="16">
        <v>46304</v>
      </c>
      <c r="F56" s="16" t="s">
        <v>1038</v>
      </c>
      <c r="G56" s="17">
        <v>0.85</v>
      </c>
      <c r="H56" s="116" t="s">
        <v>1039</v>
      </c>
      <c r="I56" s="116" t="s">
        <v>1040</v>
      </c>
      <c r="J56" s="116" t="s">
        <v>1041</v>
      </c>
      <c r="K56" s="116" t="s">
        <v>1042</v>
      </c>
      <c r="L56" s="116" t="s">
        <v>1043</v>
      </c>
      <c r="M56" s="116" t="s">
        <v>1044</v>
      </c>
      <c r="N56" s="116" t="s">
        <v>664</v>
      </c>
    </row>
    <row r="57" spans="1:14" ht="112" customHeight="1">
      <c r="A57" s="15">
        <v>56</v>
      </c>
      <c r="B57" s="15" t="s">
        <v>1045</v>
      </c>
      <c r="C57" s="73" t="s">
        <v>1046</v>
      </c>
      <c r="D57" s="74" t="s">
        <v>13</v>
      </c>
      <c r="E57" s="16">
        <v>46304</v>
      </c>
      <c r="F57" s="16" t="s">
        <v>1047</v>
      </c>
      <c r="G57" s="17">
        <v>0.9</v>
      </c>
      <c r="H57" s="116" t="s">
        <v>1048</v>
      </c>
      <c r="I57" s="116" t="s">
        <v>1049</v>
      </c>
      <c r="J57" s="116" t="s">
        <v>1050</v>
      </c>
      <c r="K57" s="116" t="s">
        <v>1051</v>
      </c>
      <c r="L57" s="116" t="s">
        <v>1052</v>
      </c>
      <c r="M57" s="116" t="s">
        <v>1053</v>
      </c>
      <c r="N57" s="116" t="s">
        <v>664</v>
      </c>
    </row>
    <row r="58" spans="1:14" ht="112" customHeight="1">
      <c r="A58" s="15">
        <v>58</v>
      </c>
      <c r="B58" s="15" t="s">
        <v>1054</v>
      </c>
      <c r="C58" s="73" t="s">
        <v>1055</v>
      </c>
      <c r="D58" s="74" t="s">
        <v>13</v>
      </c>
      <c r="E58" s="16" t="s">
        <v>1002</v>
      </c>
      <c r="F58" s="16" t="s">
        <v>14</v>
      </c>
      <c r="G58" s="17">
        <v>0.7</v>
      </c>
      <c r="H58" s="116" t="s">
        <v>1056</v>
      </c>
      <c r="I58" s="116" t="s">
        <v>1057</v>
      </c>
      <c r="J58" s="116" t="s">
        <v>1058</v>
      </c>
      <c r="K58" s="116" t="s">
        <v>1059</v>
      </c>
      <c r="L58" s="116" t="s">
        <v>1060</v>
      </c>
      <c r="M58" s="116" t="s">
        <v>1061</v>
      </c>
      <c r="N58" s="116" t="s">
        <v>1062</v>
      </c>
    </row>
    <row r="59" spans="1:14" ht="112" customHeight="1">
      <c r="A59" s="15">
        <v>59</v>
      </c>
      <c r="B59" s="15" t="s">
        <v>1063</v>
      </c>
      <c r="C59" s="73" t="s">
        <v>1064</v>
      </c>
      <c r="D59" s="74" t="s">
        <v>13</v>
      </c>
      <c r="E59" s="16" t="s">
        <v>1002</v>
      </c>
      <c r="F59" s="16" t="s">
        <v>14</v>
      </c>
      <c r="G59" s="17">
        <v>0.7</v>
      </c>
      <c r="H59" s="116" t="s">
        <v>1065</v>
      </c>
      <c r="I59" s="116" t="s">
        <v>1066</v>
      </c>
      <c r="J59" s="116" t="s">
        <v>1067</v>
      </c>
      <c r="K59" s="116" t="s">
        <v>1068</v>
      </c>
      <c r="L59" s="116" t="s">
        <v>1069</v>
      </c>
      <c r="M59" s="116" t="s">
        <v>1070</v>
      </c>
      <c r="N59" s="116" t="s">
        <v>1062</v>
      </c>
    </row>
    <row r="60" spans="1:14" ht="150" customHeight="1">
      <c r="A60" s="15">
        <v>60</v>
      </c>
      <c r="B60" s="15" t="s">
        <v>1071</v>
      </c>
      <c r="C60" s="73" t="s">
        <v>1072</v>
      </c>
      <c r="D60" s="74" t="s">
        <v>13</v>
      </c>
      <c r="E60" s="16">
        <v>46307</v>
      </c>
      <c r="F60" s="16" t="s">
        <v>1073</v>
      </c>
      <c r="G60" s="17">
        <v>0.7</v>
      </c>
      <c r="H60" s="116" t="s">
        <v>1074</v>
      </c>
      <c r="I60" s="116" t="s">
        <v>1075</v>
      </c>
      <c r="J60" s="116" t="s">
        <v>1076</v>
      </c>
      <c r="K60" s="116" t="s">
        <v>1077</v>
      </c>
      <c r="L60" s="116" t="s">
        <v>1078</v>
      </c>
      <c r="M60" s="116" t="s">
        <v>1079</v>
      </c>
      <c r="N60" s="116" t="s">
        <v>1080</v>
      </c>
    </row>
    <row r="61" spans="1:14" ht="150" customHeight="1">
      <c r="A61" s="15">
        <v>61</v>
      </c>
      <c r="B61" s="15" t="s">
        <v>1081</v>
      </c>
      <c r="C61" s="73" t="s">
        <v>1082</v>
      </c>
      <c r="D61" s="74" t="s">
        <v>13</v>
      </c>
      <c r="E61" s="16">
        <v>46307</v>
      </c>
      <c r="F61" s="16" t="s">
        <v>1083</v>
      </c>
      <c r="G61" s="17">
        <v>0.75</v>
      </c>
      <c r="H61" s="116" t="s">
        <v>1084</v>
      </c>
      <c r="I61" s="116" t="s">
        <v>1085</v>
      </c>
      <c r="J61" s="116" t="s">
        <v>1086</v>
      </c>
      <c r="K61" s="116" t="s">
        <v>1087</v>
      </c>
      <c r="L61" s="116" t="s">
        <v>1088</v>
      </c>
      <c r="M61" s="116" t="s">
        <v>1089</v>
      </c>
      <c r="N61" s="116" t="s">
        <v>1090</v>
      </c>
    </row>
    <row r="62" spans="1:14" ht="96" customHeight="1">
      <c r="A62" s="15">
        <v>62</v>
      </c>
      <c r="B62" s="15" t="s">
        <v>1091</v>
      </c>
      <c r="C62" s="73" t="s">
        <v>1092</v>
      </c>
      <c r="D62" s="74" t="s">
        <v>13</v>
      </c>
      <c r="E62" s="16" t="s">
        <v>1093</v>
      </c>
      <c r="F62" s="16" t="s">
        <v>1094</v>
      </c>
      <c r="G62" s="17">
        <v>0.7</v>
      </c>
      <c r="H62" s="116" t="s">
        <v>1095</v>
      </c>
      <c r="I62" s="116" t="s">
        <v>1096</v>
      </c>
      <c r="J62" s="116" t="s">
        <v>1097</v>
      </c>
      <c r="K62" s="116" t="s">
        <v>1098</v>
      </c>
      <c r="L62" s="116" t="s">
        <v>1099</v>
      </c>
      <c r="M62" s="116" t="s">
        <v>1100</v>
      </c>
      <c r="N62" s="116" t="s">
        <v>1101</v>
      </c>
    </row>
    <row r="63" spans="1:14" ht="96" customHeight="1">
      <c r="A63" s="15">
        <v>62</v>
      </c>
      <c r="B63" s="15" t="s">
        <v>1091</v>
      </c>
      <c r="C63" s="75" t="s">
        <v>1102</v>
      </c>
      <c r="D63" s="75" t="s">
        <v>260</v>
      </c>
      <c r="E63" s="16">
        <v>46311</v>
      </c>
      <c r="F63" s="16" t="s">
        <v>1103</v>
      </c>
      <c r="G63" s="17">
        <v>0.55000000000000004</v>
      </c>
      <c r="H63" s="116" t="s">
        <v>1104</v>
      </c>
      <c r="I63" s="116" t="s">
        <v>1105</v>
      </c>
      <c r="J63" s="116" t="s">
        <v>1106</v>
      </c>
      <c r="K63" s="116" t="s">
        <v>1107</v>
      </c>
      <c r="L63" s="116" t="s">
        <v>1108</v>
      </c>
      <c r="M63" s="116" t="s">
        <v>1109</v>
      </c>
      <c r="N63" s="116" t="s">
        <v>664</v>
      </c>
    </row>
    <row r="64" spans="1:14" ht="96" customHeight="1">
      <c r="A64" s="15">
        <v>63</v>
      </c>
      <c r="B64" s="15" t="s">
        <v>1110</v>
      </c>
      <c r="C64" s="75" t="s">
        <v>1111</v>
      </c>
      <c r="D64" s="75" t="s">
        <v>260</v>
      </c>
      <c r="E64" s="16">
        <v>46309</v>
      </c>
      <c r="F64" s="16" t="s">
        <v>1112</v>
      </c>
      <c r="G64" s="17">
        <v>0.6</v>
      </c>
      <c r="H64" s="116" t="s">
        <v>1113</v>
      </c>
      <c r="I64" s="116" t="s">
        <v>1114</v>
      </c>
      <c r="J64" s="116" t="s">
        <v>1115</v>
      </c>
      <c r="K64" s="116" t="s">
        <v>1116</v>
      </c>
      <c r="L64" s="116" t="s">
        <v>1117</v>
      </c>
      <c r="M64" s="116" t="s">
        <v>1118</v>
      </c>
      <c r="N64" s="116" t="s">
        <v>664</v>
      </c>
    </row>
    <row r="65" spans="1:14" ht="120" customHeight="1">
      <c r="A65" s="7">
        <v>65</v>
      </c>
      <c r="B65" s="7" t="s">
        <v>1119</v>
      </c>
      <c r="C65" s="118" t="s">
        <v>67</v>
      </c>
      <c r="D65" s="118" t="s">
        <v>21</v>
      </c>
      <c r="E65" s="9" t="s">
        <v>1120</v>
      </c>
      <c r="F65" s="9" t="s">
        <v>1121</v>
      </c>
      <c r="G65" s="19">
        <v>1</v>
      </c>
      <c r="H65" s="115" t="s">
        <v>1122</v>
      </c>
      <c r="I65" s="115" t="s">
        <v>1123</v>
      </c>
      <c r="J65" s="115" t="s">
        <v>1124</v>
      </c>
      <c r="K65" s="115" t="s">
        <v>1125</v>
      </c>
      <c r="L65" s="115" t="s">
        <v>1126</v>
      </c>
      <c r="M65" s="115" t="s">
        <v>1127</v>
      </c>
      <c r="N65" s="115" t="s">
        <v>843</v>
      </c>
    </row>
    <row r="66" spans="1:14" ht="120" customHeight="1">
      <c r="A66" s="7">
        <v>66</v>
      </c>
      <c r="B66" s="7" t="s">
        <v>1128</v>
      </c>
      <c r="C66" s="73" t="s">
        <v>1129</v>
      </c>
      <c r="D66" s="74" t="s">
        <v>13</v>
      </c>
      <c r="E66" s="9" t="s">
        <v>1120</v>
      </c>
      <c r="F66" s="9" t="s">
        <v>1130</v>
      </c>
      <c r="G66" s="19">
        <v>0.9</v>
      </c>
      <c r="H66" s="115" t="s">
        <v>1131</v>
      </c>
      <c r="I66" s="115" t="s">
        <v>1132</v>
      </c>
      <c r="J66" s="115" t="s">
        <v>1133</v>
      </c>
      <c r="K66" s="115" t="s">
        <v>1134</v>
      </c>
      <c r="L66" s="115" t="s">
        <v>1135</v>
      </c>
      <c r="M66" s="115" t="s">
        <v>1136</v>
      </c>
      <c r="N66" s="115" t="s">
        <v>843</v>
      </c>
    </row>
    <row r="67" spans="1:14" ht="120" customHeight="1">
      <c r="A67" s="7">
        <v>67</v>
      </c>
      <c r="B67" s="7" t="s">
        <v>1137</v>
      </c>
      <c r="C67" s="73" t="s">
        <v>1138</v>
      </c>
      <c r="D67" s="74" t="s">
        <v>13</v>
      </c>
      <c r="E67" s="9" t="s">
        <v>1120</v>
      </c>
      <c r="F67" s="9" t="s">
        <v>1139</v>
      </c>
      <c r="G67" s="19">
        <v>0.6</v>
      </c>
      <c r="H67" s="115" t="s">
        <v>1140</v>
      </c>
      <c r="I67" s="115" t="s">
        <v>1141</v>
      </c>
      <c r="J67" s="115" t="s">
        <v>1142</v>
      </c>
      <c r="K67" s="115" t="s">
        <v>1143</v>
      </c>
      <c r="L67" s="115" t="s">
        <v>1144</v>
      </c>
      <c r="M67" s="115" t="s">
        <v>1145</v>
      </c>
      <c r="N67" s="115" t="s">
        <v>1146</v>
      </c>
    </row>
    <row r="68" spans="1:14" ht="120" customHeight="1">
      <c r="A68" s="7">
        <v>67</v>
      </c>
      <c r="B68" s="7" t="s">
        <v>1147</v>
      </c>
      <c r="C68" s="73" t="s">
        <v>1148</v>
      </c>
      <c r="D68" s="74" t="s">
        <v>13</v>
      </c>
      <c r="E68" s="9">
        <v>46318</v>
      </c>
      <c r="F68" s="9" t="s">
        <v>1149</v>
      </c>
      <c r="G68" s="19">
        <v>0.55000000000000004</v>
      </c>
      <c r="H68" s="115" t="s">
        <v>1150</v>
      </c>
      <c r="I68" s="115" t="s">
        <v>1151</v>
      </c>
      <c r="J68" s="115" t="s">
        <v>1152</v>
      </c>
      <c r="K68" s="115" t="s">
        <v>1153</v>
      </c>
      <c r="L68" s="115" t="s">
        <v>1154</v>
      </c>
      <c r="M68" s="115" t="s">
        <v>1155</v>
      </c>
      <c r="N68" s="115" t="s">
        <v>1156</v>
      </c>
    </row>
    <row r="69" spans="1:14" ht="120" customHeight="1">
      <c r="A69" s="7">
        <v>69</v>
      </c>
      <c r="B69" s="7" t="s">
        <v>1157</v>
      </c>
      <c r="C69" s="73" t="s">
        <v>1158</v>
      </c>
      <c r="D69" s="74" t="s">
        <v>13</v>
      </c>
      <c r="E69" s="9" t="s">
        <v>1120</v>
      </c>
      <c r="F69" s="9" t="s">
        <v>1159</v>
      </c>
      <c r="G69" s="19">
        <v>0.7</v>
      </c>
      <c r="H69" s="115" t="s">
        <v>1160</v>
      </c>
      <c r="I69" s="115" t="s">
        <v>1161</v>
      </c>
      <c r="J69" s="115" t="s">
        <v>1162</v>
      </c>
      <c r="K69" s="115" t="s">
        <v>1163</v>
      </c>
      <c r="L69" s="115" t="s">
        <v>1164</v>
      </c>
      <c r="M69" s="115" t="s">
        <v>1165</v>
      </c>
      <c r="N69" s="115" t="s">
        <v>843</v>
      </c>
    </row>
    <row r="70" spans="1:14" ht="116">
      <c r="A70" s="7">
        <v>70</v>
      </c>
      <c r="B70" s="7" t="s">
        <v>1166</v>
      </c>
      <c r="C70" s="73" t="s">
        <v>1167</v>
      </c>
      <c r="D70" s="74" t="s">
        <v>13</v>
      </c>
      <c r="E70" s="9">
        <v>46316</v>
      </c>
      <c r="F70" s="9" t="s">
        <v>1168</v>
      </c>
      <c r="G70" s="19">
        <v>0.4</v>
      </c>
      <c r="H70" s="115" t="s">
        <v>1169</v>
      </c>
      <c r="I70" s="115" t="s">
        <v>1170</v>
      </c>
      <c r="J70" s="115" t="s">
        <v>1171</v>
      </c>
      <c r="K70" s="115" t="s">
        <v>1172</v>
      </c>
      <c r="L70" s="115" t="s">
        <v>1173</v>
      </c>
      <c r="M70" s="115" t="s">
        <v>1174</v>
      </c>
      <c r="N70" s="115" t="s">
        <v>664</v>
      </c>
    </row>
    <row r="71" spans="1:14" ht="145">
      <c r="A71" s="7">
        <v>71</v>
      </c>
      <c r="B71" s="7" t="s">
        <v>1175</v>
      </c>
      <c r="C71" s="73" t="s">
        <v>1176</v>
      </c>
      <c r="D71" s="74" t="s">
        <v>13</v>
      </c>
      <c r="E71" s="9">
        <v>46316</v>
      </c>
      <c r="F71" s="9" t="s">
        <v>1177</v>
      </c>
      <c r="G71" s="19">
        <v>0.7</v>
      </c>
      <c r="H71" s="115" t="s">
        <v>1178</v>
      </c>
      <c r="I71" s="115" t="s">
        <v>1179</v>
      </c>
      <c r="J71" s="115" t="s">
        <v>1180</v>
      </c>
      <c r="K71" s="115" t="s">
        <v>1181</v>
      </c>
      <c r="L71" s="115" t="s">
        <v>1182</v>
      </c>
      <c r="M71" s="115" t="s">
        <v>1183</v>
      </c>
      <c r="N71" s="115" t="s">
        <v>664</v>
      </c>
    </row>
  </sheetData>
  <conditionalFormatting sqref="C2:C19">
    <cfRule type="containsText" dxfId="68" priority="13" operator="containsText" text="Completed"/>
    <cfRule type="containsText" dxfId="67" priority="14" operator="containsText" text="In Progress"/>
    <cfRule type="containsText" dxfId="66" priority="16" operator="containsText" text="Not Started"/>
  </conditionalFormatting>
  <conditionalFormatting sqref="C2:D19">
    <cfRule type="containsText" dxfId="65" priority="15" operator="containsText" text="At Risk"/>
  </conditionalFormatting>
  <conditionalFormatting sqref="C65:D65">
    <cfRule type="containsText" dxfId="64" priority="1" operator="containsText" text="At Risk"/>
    <cfRule type="containsText" dxfId="63" priority="2" operator="containsText" text="Amber"/>
    <cfRule type="containsText" dxfId="62" priority="3" operator="containsText" text="Green"/>
  </conditionalFormatting>
  <conditionalFormatting sqref="D2:D20">
    <cfRule type="containsText" dxfId="61" priority="17" operator="containsText" text="Amber"/>
    <cfRule type="containsText" dxfId="60" priority="18" operator="containsText" text="Green"/>
  </conditionalFormatting>
  <conditionalFormatting sqref="D20:D22">
    <cfRule type="containsText" dxfId="59" priority="10" operator="containsText" text="At Risk"/>
  </conditionalFormatting>
  <conditionalFormatting sqref="D21:D22">
    <cfRule type="containsText" dxfId="58" priority="11" operator="containsText" text="Amber"/>
    <cfRule type="containsText" dxfId="57" priority="12" operator="containsText" text="Green"/>
  </conditionalFormatting>
  <conditionalFormatting sqref="D29:D34">
    <cfRule type="containsText" dxfId="56" priority="7" operator="containsText" text="At Risk"/>
    <cfRule type="containsText" dxfId="55" priority="8" operator="containsText" text="Amber"/>
    <cfRule type="containsText" dxfId="54" priority="9" operator="containsText" text="Green"/>
  </conditionalFormatting>
  <conditionalFormatting sqref="D39:D41">
    <cfRule type="containsText" dxfId="53" priority="4" operator="containsText" text="At Risk"/>
    <cfRule type="containsText" dxfId="52" priority="5" operator="containsText" text="Amber"/>
    <cfRule type="containsText" dxfId="51" priority="6" operator="containsText" text="Green"/>
  </conditionalFormatting>
  <conditionalFormatting sqref="F2:F19">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cfRule>
    <cfRule type="dataBar" priority="36">
      <dataBar>
        <cfvo type="min"/>
        <cfvo type="max"/>
        <color rgb="FF5B9BD5"/>
      </dataBar>
    </cfRule>
    <cfRule type="dataBar" priority="37">
      <dataBar>
        <cfvo type="min"/>
        <cfvo type="max"/>
        <color rgb="FF5B9BD5"/>
      </dataBar>
    </cfRule>
    <cfRule type="dataBar" priority="38">
      <dataBar>
        <cfvo type="min"/>
        <cfvo type="max"/>
        <color rgb="FF5B9BD5"/>
      </dataBar>
    </cfRule>
    <cfRule type="dataBar" priority="39">
      <dataBar>
        <cfvo type="min"/>
        <cfvo type="max"/>
        <color rgb="FF5B9BD5"/>
      </dataBar>
    </cfRule>
    <cfRule type="dataBar" priority="40">
      <dataBar>
        <cfvo type="min"/>
        <cfvo type="max"/>
        <color rgb="FF5B9BD5"/>
      </dataBar>
    </cfRule>
    <cfRule type="dataBar" priority="41">
      <dataBar>
        <cfvo type="min"/>
        <cfvo type="max"/>
        <color rgb="FF5B9BD5"/>
      </dataBar>
    </cfRule>
    <cfRule type="dataBar" priority="42">
      <dataBar>
        <cfvo type="min"/>
        <cfvo type="max"/>
        <color rgb="FF5B9BD5"/>
      </dataBar>
    </cfRule>
    <cfRule type="dataBar" priority="43">
      <dataBar>
        <cfvo type="min"/>
        <cfvo type="max"/>
        <color rgb="FF5B9BD5"/>
      </dataBar>
    </cfRule>
    <cfRule type="dataBar" priority="44">
      <dataBar>
        <cfvo type="min"/>
        <cfvo type="max"/>
        <color rgb="FF5B9BD5"/>
      </dataBar>
      <extLst>
        <ext xmlns:x14="http://schemas.microsoft.com/office/spreadsheetml/2009/9/main" uri="{B025F937-C7B1-47D3-B67F-A62EFF666E3E}">
          <x14:id>{84D10254-4B29-4E47-8D71-263E6F876890}</x14:id>
        </ext>
      </extLst>
    </cfRule>
  </conditionalFormatting>
  <dataValidations count="3">
    <dataValidation type="list" sqref="C2:C19" xr:uid="{19626477-01C2-43C0-8D59-CCC5BFDB07A6}">
      <formula1>"Not Started,Pending,In Progress,Ongoing,At Risk,On Hold,Completed,Roadmap,Readiness,Evaluation"</formula1>
    </dataValidation>
    <dataValidation type="decimal" sqref="F2:F19" xr:uid="{4DA5B71D-29E7-4166-8362-C01B6EE8E4AD}">
      <formula1>0</formula1>
      <formula2>1</formula2>
    </dataValidation>
    <dataValidation type="list" sqref="D33 D22 D39:D41 D2:D20 D65" xr:uid="{42D49BC3-34D0-4B29-A5D0-BC51D959107C}">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4D10254-4B29-4E47-8D71-263E6F876890}">
            <x14:dataBar>
              <x14:cfvo type="min"/>
              <x14:cfvo type="max"/>
              <x14:negativeFillColor auto="1"/>
              <x14:axisColor auto="1"/>
            </x14:dataBar>
          </x14:cfRule>
          <xm:sqref>F2:F19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3" activePane="bottomLeft" state="frozen"/>
      <selection pane="bottomLeft" activeCell="F3" sqref="F3"/>
    </sheetView>
  </sheetViews>
  <sheetFormatPr defaultColWidth="9" defaultRowHeight="14"/>
  <cols>
    <col min="1" max="1" width="7" customWidth="1"/>
    <col min="2" max="2" width="34" customWidth="1"/>
    <col min="3" max="4" width="23" customWidth="1"/>
    <col min="5" max="5" width="14" customWidth="1"/>
    <col min="6" max="6" width="16" customWidth="1"/>
    <col min="7" max="7" width="15" customWidth="1"/>
    <col min="8" max="8" width="44" customWidth="1"/>
    <col min="9" max="10" width="50" customWidth="1"/>
    <col min="11" max="11" width="30" customWidth="1"/>
    <col min="12" max="12" width="42" customWidth="1"/>
    <col min="13" max="13" width="44" customWidth="1"/>
    <col min="14" max="14" width="34" customWidth="1"/>
  </cols>
  <sheetData>
    <row r="1" spans="1:14" ht="34" customHeight="1">
      <c r="A1" s="131" t="s">
        <v>315</v>
      </c>
      <c r="B1" s="131"/>
      <c r="C1" s="131"/>
      <c r="D1" s="131"/>
      <c r="E1" s="131"/>
      <c r="F1" s="131"/>
      <c r="G1" s="131"/>
      <c r="H1" s="131"/>
      <c r="I1" s="131"/>
      <c r="J1" s="131"/>
      <c r="K1" s="131"/>
      <c r="L1" s="131"/>
      <c r="M1" s="131"/>
      <c r="N1" s="34"/>
    </row>
    <row r="2" spans="1:14" ht="46" customHeight="1">
      <c r="A2" s="132" t="s">
        <v>316</v>
      </c>
      <c r="B2" s="132"/>
      <c r="C2" s="132"/>
      <c r="D2" s="132"/>
      <c r="E2" s="132"/>
      <c r="F2" s="132"/>
      <c r="G2" s="132"/>
      <c r="H2" s="132"/>
      <c r="I2" s="132"/>
      <c r="J2" s="132"/>
      <c r="K2" s="132"/>
      <c r="L2" s="132"/>
      <c r="M2" s="132"/>
      <c r="N2" s="35"/>
    </row>
    <row r="3" spans="1:14" ht="46" customHeight="1">
      <c r="A3" s="36" t="s">
        <v>0</v>
      </c>
      <c r="B3" s="37" t="s">
        <v>1</v>
      </c>
      <c r="C3" s="37" t="s">
        <v>2</v>
      </c>
      <c r="D3" s="37" t="s">
        <v>3</v>
      </c>
      <c r="E3" s="37" t="s">
        <v>4</v>
      </c>
      <c r="F3" s="6" t="s">
        <v>1275</v>
      </c>
      <c r="G3" s="37" t="s">
        <v>5</v>
      </c>
      <c r="H3" s="38" t="s">
        <v>6</v>
      </c>
      <c r="I3" s="38" t="s">
        <v>7</v>
      </c>
      <c r="J3" s="38" t="s">
        <v>8</v>
      </c>
      <c r="K3" s="38" t="s">
        <v>317</v>
      </c>
      <c r="L3" s="38" t="s">
        <v>10</v>
      </c>
      <c r="M3" s="39" t="s">
        <v>11</v>
      </c>
      <c r="N3" s="40" t="s">
        <v>12</v>
      </c>
    </row>
    <row r="4" spans="1:14" ht="24">
      <c r="A4" s="41">
        <v>1</v>
      </c>
      <c r="B4" s="41" t="s">
        <v>70</v>
      </c>
      <c r="C4" s="42" t="s">
        <v>418</v>
      </c>
      <c r="D4" s="42" t="s">
        <v>21</v>
      </c>
      <c r="E4" s="43" t="s">
        <v>14</v>
      </c>
      <c r="F4" s="43" t="s">
        <v>14</v>
      </c>
      <c r="G4" s="44">
        <v>1</v>
      </c>
      <c r="H4" s="45" t="s">
        <v>67</v>
      </c>
      <c r="I4" s="45" t="s">
        <v>71</v>
      </c>
      <c r="J4" s="45" t="s">
        <v>72</v>
      </c>
      <c r="K4" s="46" t="s">
        <v>73</v>
      </c>
      <c r="L4" s="47" t="s">
        <v>74</v>
      </c>
      <c r="M4" s="47" t="s">
        <v>75</v>
      </c>
      <c r="N4" s="2" t="s">
        <v>15</v>
      </c>
    </row>
    <row r="5" spans="1:14" ht="46" customHeight="1">
      <c r="A5" s="48">
        <v>2</v>
      </c>
      <c r="B5" s="48" t="s">
        <v>76</v>
      </c>
      <c r="C5" s="42" t="s">
        <v>419</v>
      </c>
      <c r="D5" s="42" t="s">
        <v>21</v>
      </c>
      <c r="E5" s="49" t="s">
        <v>14</v>
      </c>
      <c r="F5" s="49" t="s">
        <v>14</v>
      </c>
      <c r="G5" s="44">
        <v>1</v>
      </c>
      <c r="H5" s="50" t="s">
        <v>67</v>
      </c>
      <c r="I5" s="50" t="s">
        <v>77</v>
      </c>
      <c r="J5" s="50" t="s">
        <v>78</v>
      </c>
      <c r="K5" s="51" t="s">
        <v>73</v>
      </c>
      <c r="L5" s="52" t="s">
        <v>74</v>
      </c>
      <c r="M5" s="52" t="s">
        <v>79</v>
      </c>
      <c r="N5" s="2" t="s">
        <v>15</v>
      </c>
    </row>
    <row r="6" spans="1:14" ht="84">
      <c r="A6" s="41">
        <v>3</v>
      </c>
      <c r="B6" s="41" t="s">
        <v>80</v>
      </c>
      <c r="C6" s="42" t="s">
        <v>420</v>
      </c>
      <c r="D6" s="42" t="s">
        <v>21</v>
      </c>
      <c r="E6" s="43" t="s">
        <v>14</v>
      </c>
      <c r="F6" s="43" t="s">
        <v>14</v>
      </c>
      <c r="G6" s="44">
        <v>1</v>
      </c>
      <c r="H6" s="53" t="s">
        <v>81</v>
      </c>
      <c r="I6" s="53" t="s">
        <v>318</v>
      </c>
      <c r="J6" s="53" t="s">
        <v>82</v>
      </c>
      <c r="K6" s="54" t="s">
        <v>73</v>
      </c>
      <c r="L6" s="55" t="s">
        <v>83</v>
      </c>
      <c r="M6" s="55" t="s">
        <v>84</v>
      </c>
      <c r="N6" s="2" t="e" vm="1">
        <f ca="1">_xlfn.DISPIMG("ID_BFCB287FF50949ACB47F716BD1E40440",1)</f>
        <v>#NAME?</v>
      </c>
    </row>
    <row r="7" spans="1:14" ht="24">
      <c r="A7" s="41">
        <v>4</v>
      </c>
      <c r="B7" s="41" t="s">
        <v>85</v>
      </c>
      <c r="C7" s="42" t="s">
        <v>421</v>
      </c>
      <c r="D7" s="42" t="s">
        <v>21</v>
      </c>
      <c r="E7" s="43" t="s">
        <v>14</v>
      </c>
      <c r="F7" s="43" t="s">
        <v>14</v>
      </c>
      <c r="G7" s="44">
        <v>1</v>
      </c>
      <c r="H7" s="53" t="s">
        <v>67</v>
      </c>
      <c r="I7" s="53" t="s">
        <v>86</v>
      </c>
      <c r="J7" s="53" t="s">
        <v>87</v>
      </c>
      <c r="K7" s="54" t="s">
        <v>88</v>
      </c>
      <c r="L7" s="55" t="s">
        <v>319</v>
      </c>
      <c r="M7" s="55" t="s">
        <v>89</v>
      </c>
      <c r="N7" t="s">
        <v>90</v>
      </c>
    </row>
    <row r="8" spans="1:14" ht="84">
      <c r="A8" s="41">
        <v>5</v>
      </c>
      <c r="B8" s="41" t="s">
        <v>91</v>
      </c>
      <c r="C8" s="42" t="s">
        <v>422</v>
      </c>
      <c r="D8" s="42" t="s">
        <v>21</v>
      </c>
      <c r="E8" s="43" t="s">
        <v>14</v>
      </c>
      <c r="F8" s="43" t="s">
        <v>14</v>
      </c>
      <c r="G8" s="44">
        <v>0.2</v>
      </c>
      <c r="H8" s="53" t="s">
        <v>17</v>
      </c>
      <c r="I8" s="56" t="s">
        <v>423</v>
      </c>
      <c r="J8" s="53" t="s">
        <v>424</v>
      </c>
      <c r="K8" s="54" t="s">
        <v>88</v>
      </c>
      <c r="L8" s="55" t="s">
        <v>425</v>
      </c>
      <c r="M8" s="55" t="s">
        <v>92</v>
      </c>
    </row>
  </sheetData>
  <mergeCells count="2">
    <mergeCell ref="A1:M1"/>
    <mergeCell ref="A2:M2"/>
  </mergeCells>
  <conditionalFormatting sqref="C4:D7">
    <cfRule type="expression" dxfId="50" priority="11">
      <formula>OR(ISNUMBER(SEARCH("At Risk",C4)),ISNUMBER(SEARCH("Security Risk",C4)),ISNUMBER(SEARCH("Blocked",C4)))</formula>
    </cfRule>
    <cfRule type="expression" dxfId="49" priority="12">
      <formula>OR(ISNUMBER(SEARCH("Green",C4)),ISNUMBER(SEARCH("Completed",C4)))</formula>
    </cfRule>
    <cfRule type="expression" dxfId="48" priority="13">
      <formula>AND(C4&lt;&gt;"",NOT(OR(ISNUMBER(SEARCH("At Risk",C4)),ISNUMBER(SEARCH("Security Risk",C4)),ISNUMBER(SEARCH("Blocked",C4)),ISNUMBER(SEARCH("Green",C4)),ISNUMBER(SEARCH("Completed",C4)))))</formula>
    </cfRule>
  </conditionalFormatting>
  <conditionalFormatting sqref="C8:D8">
    <cfRule type="expression" dxfId="47" priority="1">
      <formula>OR(ISNUMBER(SEARCH("At Risk",C8)),ISNUMBER(SEARCH("Security Risk",C8)),ISNUMBER(SEARCH("Blocked",C8)))</formula>
    </cfRule>
    <cfRule type="expression" dxfId="46" priority="2">
      <formula>OR(ISNUMBER(SEARCH("Green",C8)),ISNUMBER(SEARCH("Completed",C8)))</formula>
    </cfRule>
    <cfRule type="expression" dxfId="45" priority="3">
      <formula>AND(C8&lt;&gt;"",NOT(OR(ISNUMBER(SEARCH("At Risk",C8)),ISNUMBER(SEARCH("Security Risk",C8)),ISNUMBER(SEARCH("Blocked",C8)),ISNUMBER(SEARCH("Green",C8)),ISNUMBER(SEARCH("Completed",C8)))))</formula>
    </cfRule>
  </conditionalFormatting>
  <conditionalFormatting sqref="H4:H7">
    <cfRule type="containsText" dxfId="44" priority="14" operator="containsText" text="Completed">
      <formula>NOT(ISERROR(SEARCH("Completed",H4)))</formula>
    </cfRule>
    <cfRule type="containsText" dxfId="43" priority="15" operator="containsText" text="In Progress">
      <formula>NOT(ISERROR(SEARCH("In Progress",H4)))</formula>
    </cfRule>
    <cfRule type="containsText" dxfId="42" priority="16" operator="containsText" text="At Risk">
      <formula>NOT(ISERROR(SEARCH("At Risk",H4)))</formula>
    </cfRule>
    <cfRule type="containsText" dxfId="41" priority="17" operator="containsText" text="Blocked">
      <formula>NOT(ISERROR(SEARCH("Blocked",H4)))</formula>
    </cfRule>
    <cfRule type="containsText" dxfId="40" priority="18" operator="containsText" text="Not Started">
      <formula>NOT(ISERROR(SEARCH("Not Started",H4)))</formula>
    </cfRule>
  </conditionalFormatting>
  <conditionalFormatting sqref="H8">
    <cfRule type="containsText" dxfId="39" priority="4" operator="containsText" text="Completed">
      <formula>NOT(ISERROR(SEARCH("Completed",H8)))</formula>
    </cfRule>
    <cfRule type="containsText" dxfId="38" priority="5" operator="containsText" text="In Progress">
      <formula>NOT(ISERROR(SEARCH("In Progress",H8)))</formula>
    </cfRule>
    <cfRule type="containsText" dxfId="37" priority="6" operator="containsText" text="At Risk">
      <formula>NOT(ISERROR(SEARCH("At Risk",H8)))</formula>
    </cfRule>
    <cfRule type="containsText" dxfId="36" priority="7" operator="containsText" text="Blocked">
      <formula>NOT(ISERROR(SEARCH("Blocked",H8)))</formula>
    </cfRule>
    <cfRule type="containsText" dxfId="35" priority="8" operator="containsText" text="Not Started">
      <formula>NOT(ISERROR(SEARCH("Not Started",H8)))</formula>
    </cfRule>
  </conditionalFormatting>
  <conditionalFormatting sqref="K4:K7">
    <cfRule type="dataBar" priority="19">
      <dataBar>
        <cfvo type="min"/>
        <cfvo type="max"/>
        <color rgb="FF5B9BD5"/>
      </dataBar>
    </cfRule>
    <cfRule type="dataBar" priority="20">
      <dataBar>
        <cfvo type="min"/>
        <cfvo type="max"/>
        <color rgb="FF5B9BD5"/>
      </dataBar>
      <extLst>
        <ext xmlns:x14="http://schemas.microsoft.com/office/spreadsheetml/2009/9/main" uri="{B025F937-C7B1-47D3-B67F-A62EFF666E3E}">
          <x14:id>{B1420BE1-ADE0-41B4-8216-F1DFB29B7953}</x14:id>
        </ext>
      </extLst>
    </cfRule>
  </conditionalFormatting>
  <conditionalFormatting sqref="K8">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{DFF4E5B4-4A5C-4BD4-AE20-D01305B5BDA0}</x14:id>
        </ext>
      </extLst>
    </cfRule>
  </conditionalFormatting>
  <dataValidations count="1">
    <dataValidation type="list" sqref="H4:H8" xr:uid="{27298AD5-6882-4CED-A86B-A258DB36D8EF}">
      <formula1>"Not Started,In Progress,At Risk,Blocked,On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420BE1-ADE0-41B4-8216-F1DFB29B7953}">
            <x14:dataBar>
              <x14:cfvo type="min"/>
              <x14:cfvo type="max"/>
              <x14:negativeFillColor auto="1"/>
              <x14:axisColor auto="1"/>
            </x14:dataBar>
          </x14:cfRule>
          <xm:sqref>K4:K7</xm:sqref>
        </x14:conditionalFormatting>
        <x14:conditionalFormatting xmlns:xm="http://schemas.microsoft.com/office/excel/2006/main">
          <x14:cfRule type="dataBar" id="{DFF4E5B4-4A5C-4BD4-AE20-D01305B5BDA0}">
            <x14:dataBar>
              <x14:cfvo type="min"/>
              <x14:cfvo type="max"/>
              <x14:negativeFillColor auto="1"/>
              <x14:axisColor auto="1"/>
            </x14:dataBar>
          </x14:cfRule>
          <xm:sqref>K8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1"/>
  <sheetViews>
    <sheetView showGridLines="0" workbookViewId="0">
      <pane ySplit="1" topLeftCell="A7" activePane="bottomLeft" state="frozen"/>
      <selection pane="bottomLeft" activeCell="F1" sqref="F1"/>
    </sheetView>
  </sheetViews>
  <sheetFormatPr defaultColWidth="8.7265625" defaultRowHeight="14.5"/>
  <cols>
    <col min="1" max="1" width="6" style="20" customWidth="1"/>
    <col min="2" max="2" width="35" style="20" customWidth="1"/>
    <col min="3" max="4" width="22" style="20" customWidth="1"/>
    <col min="5" max="5" width="14" style="20" customWidth="1"/>
    <col min="6" max="6" width="15.36328125" style="20" customWidth="1"/>
    <col min="7" max="7" width="16" style="20" customWidth="1"/>
    <col min="8" max="8" width="38" style="20" customWidth="1"/>
    <col min="9" max="10" width="54" style="20" customWidth="1"/>
    <col min="11" max="11" width="29" style="20" customWidth="1"/>
    <col min="12" max="12" width="38" style="20" customWidth="1"/>
    <col min="13" max="13" width="36" style="20" customWidth="1"/>
    <col min="14" max="14" width="30" style="20" customWidth="1"/>
    <col min="15" max="16384" width="8.7265625" style="20"/>
  </cols>
  <sheetData>
    <row r="1" spans="1:14" ht="34" customHeight="1">
      <c r="A1" s="76" t="s">
        <v>0</v>
      </c>
      <c r="B1" s="77" t="s">
        <v>1</v>
      </c>
      <c r="C1" s="77" t="s">
        <v>2</v>
      </c>
      <c r="D1" s="77" t="s">
        <v>3</v>
      </c>
      <c r="E1" s="77" t="s">
        <v>4</v>
      </c>
      <c r="F1" s="133" t="s">
        <v>1275</v>
      </c>
      <c r="G1" s="77" t="s">
        <v>5</v>
      </c>
      <c r="H1" s="77" t="s">
        <v>6</v>
      </c>
      <c r="I1" s="77" t="s">
        <v>7</v>
      </c>
      <c r="J1" s="77" t="s">
        <v>8</v>
      </c>
      <c r="K1" s="77" t="s">
        <v>9</v>
      </c>
      <c r="L1" s="77" t="s">
        <v>10</v>
      </c>
      <c r="M1" s="77" t="s">
        <v>11</v>
      </c>
      <c r="N1" s="78" t="s">
        <v>12</v>
      </c>
    </row>
    <row r="2" spans="1:14" ht="87">
      <c r="A2" s="79">
        <v>1</v>
      </c>
      <c r="B2" s="80" t="s">
        <v>93</v>
      </c>
      <c r="C2" s="79" t="s">
        <v>17</v>
      </c>
      <c r="D2" s="81" t="s">
        <v>21</v>
      </c>
      <c r="E2" s="79" t="s">
        <v>14</v>
      </c>
      <c r="F2" s="79" t="s">
        <v>14</v>
      </c>
      <c r="G2" s="82">
        <v>0.75</v>
      </c>
      <c r="H2" s="80" t="s">
        <v>94</v>
      </c>
      <c r="I2" s="80" t="s">
        <v>352</v>
      </c>
      <c r="J2" s="80" t="s">
        <v>353</v>
      </c>
      <c r="K2" s="80" t="s">
        <v>95</v>
      </c>
      <c r="L2" s="80" t="s">
        <v>354</v>
      </c>
      <c r="M2" s="80" t="s">
        <v>355</v>
      </c>
      <c r="N2" s="80" t="s">
        <v>356</v>
      </c>
    </row>
    <row r="3" spans="1:14" ht="43.5">
      <c r="A3" s="83">
        <v>2</v>
      </c>
      <c r="B3" s="84" t="s">
        <v>96</v>
      </c>
      <c r="C3" s="83" t="s">
        <v>17</v>
      </c>
      <c r="D3" s="81" t="s">
        <v>21</v>
      </c>
      <c r="E3" s="83" t="s">
        <v>14</v>
      </c>
      <c r="F3" s="83" t="s">
        <v>97</v>
      </c>
      <c r="G3" s="85">
        <v>0.74</v>
      </c>
      <c r="H3" s="84" t="s">
        <v>98</v>
      </c>
      <c r="I3" s="84" t="s">
        <v>357</v>
      </c>
      <c r="J3" s="84" t="s">
        <v>358</v>
      </c>
      <c r="K3" s="84" t="s">
        <v>95</v>
      </c>
      <c r="L3" s="84" t="s">
        <v>359</v>
      </c>
      <c r="M3" s="84" t="s">
        <v>360</v>
      </c>
      <c r="N3" s="84" t="s">
        <v>361</v>
      </c>
    </row>
    <row r="4" spans="1:14" ht="43.5">
      <c r="A4" s="79">
        <v>3</v>
      </c>
      <c r="B4" s="80" t="s">
        <v>99</v>
      </c>
      <c r="C4" s="79" t="s">
        <v>17</v>
      </c>
      <c r="D4" s="81" t="s">
        <v>21</v>
      </c>
      <c r="E4" s="79" t="s">
        <v>14</v>
      </c>
      <c r="F4" s="79" t="s">
        <v>14</v>
      </c>
      <c r="G4" s="82">
        <v>0.13</v>
      </c>
      <c r="H4" s="80" t="s">
        <v>100</v>
      </c>
      <c r="I4" s="80" t="s">
        <v>280</v>
      </c>
      <c r="J4" s="80" t="s">
        <v>281</v>
      </c>
      <c r="K4" s="80" t="s">
        <v>101</v>
      </c>
      <c r="L4" s="80" t="s">
        <v>282</v>
      </c>
      <c r="M4" s="80" t="s">
        <v>283</v>
      </c>
      <c r="N4" s="80" t="s">
        <v>284</v>
      </c>
    </row>
    <row r="5" spans="1:14" ht="58">
      <c r="A5" s="83">
        <v>4</v>
      </c>
      <c r="B5" s="84" t="s">
        <v>102</v>
      </c>
      <c r="C5" s="83" t="s">
        <v>17</v>
      </c>
      <c r="D5" s="81" t="s">
        <v>21</v>
      </c>
      <c r="E5" s="83" t="s">
        <v>14</v>
      </c>
      <c r="F5" s="83" t="s">
        <v>103</v>
      </c>
      <c r="G5" s="85">
        <v>0.55000000000000004</v>
      </c>
      <c r="H5" s="84" t="s">
        <v>104</v>
      </c>
      <c r="I5" s="84" t="s">
        <v>285</v>
      </c>
      <c r="J5" s="84" t="s">
        <v>286</v>
      </c>
      <c r="K5" s="84" t="s">
        <v>95</v>
      </c>
      <c r="L5" s="84" t="s">
        <v>105</v>
      </c>
      <c r="M5" s="84" t="s">
        <v>287</v>
      </c>
      <c r="N5" s="84" t="s">
        <v>288</v>
      </c>
    </row>
    <row r="6" spans="1:14" ht="72.5">
      <c r="A6" s="79">
        <v>5</v>
      </c>
      <c r="B6" s="80" t="s">
        <v>106</v>
      </c>
      <c r="C6" s="79" t="s">
        <v>17</v>
      </c>
      <c r="D6" s="81" t="s">
        <v>21</v>
      </c>
      <c r="E6" s="79" t="s">
        <v>14</v>
      </c>
      <c r="F6" s="79" t="s">
        <v>107</v>
      </c>
      <c r="G6" s="82">
        <v>0.8</v>
      </c>
      <c r="H6" s="80" t="s">
        <v>108</v>
      </c>
      <c r="I6" s="80" t="s">
        <v>362</v>
      </c>
      <c r="J6" s="80" t="s">
        <v>363</v>
      </c>
      <c r="K6" s="80" t="s">
        <v>101</v>
      </c>
      <c r="L6" s="80" t="s">
        <v>364</v>
      </c>
      <c r="M6" s="80" t="s">
        <v>365</v>
      </c>
      <c r="N6" s="80" t="s">
        <v>366</v>
      </c>
    </row>
    <row r="7" spans="1:14" ht="29">
      <c r="A7" s="83">
        <v>6</v>
      </c>
      <c r="B7" s="84" t="s">
        <v>109</v>
      </c>
      <c r="C7" s="83" t="s">
        <v>17</v>
      </c>
      <c r="D7" s="81" t="s">
        <v>21</v>
      </c>
      <c r="E7" s="83" t="s">
        <v>14</v>
      </c>
      <c r="F7" s="83" t="s">
        <v>110</v>
      </c>
      <c r="G7" s="85">
        <v>0.5</v>
      </c>
      <c r="H7" s="84" t="s">
        <v>111</v>
      </c>
      <c r="I7" s="84" t="s">
        <v>112</v>
      </c>
      <c r="J7" s="84" t="s">
        <v>113</v>
      </c>
      <c r="K7" s="84" t="s">
        <v>95</v>
      </c>
      <c r="L7" s="84" t="s">
        <v>114</v>
      </c>
      <c r="M7" s="84" t="s">
        <v>115</v>
      </c>
      <c r="N7" s="84" t="s">
        <v>116</v>
      </c>
    </row>
    <row r="8" spans="1:14" ht="29">
      <c r="A8" s="79">
        <v>7</v>
      </c>
      <c r="B8" s="80" t="s">
        <v>117</v>
      </c>
      <c r="C8" s="79" t="s">
        <v>17</v>
      </c>
      <c r="D8" s="81" t="s">
        <v>21</v>
      </c>
      <c r="E8" s="79" t="s">
        <v>14</v>
      </c>
      <c r="F8" s="79" t="s">
        <v>14</v>
      </c>
      <c r="G8" s="82">
        <v>0.8</v>
      </c>
      <c r="H8" s="80" t="s">
        <v>118</v>
      </c>
      <c r="I8" s="80" t="s">
        <v>119</v>
      </c>
      <c r="J8" s="80" t="s">
        <v>120</v>
      </c>
      <c r="K8" s="80" t="s">
        <v>101</v>
      </c>
      <c r="L8" s="80" t="s">
        <v>121</v>
      </c>
      <c r="M8" s="80" t="s">
        <v>122</v>
      </c>
      <c r="N8" s="80" t="s">
        <v>123</v>
      </c>
    </row>
    <row r="9" spans="1:14" ht="72.5">
      <c r="A9" s="83">
        <v>8</v>
      </c>
      <c r="B9" s="84" t="s">
        <v>367</v>
      </c>
      <c r="C9" s="83" t="s">
        <v>17</v>
      </c>
      <c r="D9" s="81" t="s">
        <v>21</v>
      </c>
      <c r="E9" s="83" t="s">
        <v>14</v>
      </c>
      <c r="F9" s="83" t="s">
        <v>14</v>
      </c>
      <c r="G9" s="85">
        <v>0.3</v>
      </c>
      <c r="H9" s="84" t="s">
        <v>368</v>
      </c>
      <c r="I9" s="84" t="s">
        <v>369</v>
      </c>
      <c r="J9" s="84" t="s">
        <v>370</v>
      </c>
      <c r="K9" s="84" t="s">
        <v>95</v>
      </c>
      <c r="L9" s="84" t="s">
        <v>371</v>
      </c>
      <c r="M9" s="84" t="s">
        <v>372</v>
      </c>
      <c r="N9" s="84" t="s">
        <v>373</v>
      </c>
    </row>
    <row r="10" spans="1:14" ht="87">
      <c r="A10" s="79">
        <v>9</v>
      </c>
      <c r="B10" s="80" t="s">
        <v>374</v>
      </c>
      <c r="C10" s="79" t="s">
        <v>17</v>
      </c>
      <c r="D10" s="81" t="s">
        <v>21</v>
      </c>
      <c r="E10" s="79" t="s">
        <v>14</v>
      </c>
      <c r="F10" s="79" t="s">
        <v>14</v>
      </c>
      <c r="G10" s="82">
        <v>0.2</v>
      </c>
      <c r="H10" s="80" t="s">
        <v>375</v>
      </c>
      <c r="I10" s="80" t="s">
        <v>376</v>
      </c>
      <c r="J10" s="80" t="s">
        <v>377</v>
      </c>
      <c r="K10" s="80" t="s">
        <v>101</v>
      </c>
      <c r="L10" s="80" t="s">
        <v>378</v>
      </c>
      <c r="M10" s="80" t="s">
        <v>379</v>
      </c>
      <c r="N10" s="80" t="s">
        <v>380</v>
      </c>
    </row>
    <row r="11" spans="1:14">
      <c r="A11" s="86"/>
      <c r="B11" s="86"/>
      <c r="C11" s="86"/>
      <c r="D11" s="86"/>
      <c r="E11" s="86"/>
      <c r="F11" s="86"/>
      <c r="G11" s="86"/>
      <c r="H11" s="86"/>
      <c r="I11" s="86"/>
      <c r="J11" s="86"/>
      <c r="K11" s="86"/>
      <c r="L11" s="86"/>
      <c r="M11" s="86"/>
      <c r="N11" s="86"/>
    </row>
    <row r="12" spans="1:14">
      <c r="A12" s="87"/>
      <c r="B12" s="87"/>
      <c r="C12" s="87"/>
      <c r="D12" s="87"/>
      <c r="E12" s="87"/>
      <c r="F12" s="87"/>
      <c r="G12" s="87"/>
      <c r="H12" s="87"/>
      <c r="I12" s="87"/>
      <c r="J12" s="87"/>
      <c r="K12" s="87"/>
      <c r="L12" s="87"/>
      <c r="M12" s="87"/>
      <c r="N12" s="87"/>
    </row>
    <row r="13" spans="1:14">
      <c r="A13" s="87"/>
      <c r="B13" s="87"/>
      <c r="C13" s="87"/>
      <c r="D13" s="87"/>
      <c r="E13" s="87"/>
      <c r="F13" s="87"/>
      <c r="G13" s="87"/>
      <c r="H13" s="87"/>
      <c r="I13" s="87"/>
      <c r="J13" s="87"/>
      <c r="K13" s="87"/>
      <c r="L13" s="87"/>
      <c r="M13" s="87"/>
      <c r="N13" s="87"/>
    </row>
    <row r="14" spans="1:14">
      <c r="A14" s="87"/>
      <c r="B14" s="87"/>
      <c r="C14" s="87"/>
      <c r="D14" s="87"/>
      <c r="E14" s="87"/>
      <c r="F14" s="87"/>
      <c r="G14" s="87"/>
      <c r="H14" s="87"/>
      <c r="I14" s="87"/>
      <c r="J14" s="87"/>
      <c r="K14" s="87"/>
      <c r="L14" s="87"/>
      <c r="M14" s="87"/>
      <c r="N14" s="87"/>
    </row>
    <row r="15" spans="1:14">
      <c r="A15" s="87"/>
      <c r="B15" s="87"/>
      <c r="C15" s="87"/>
      <c r="D15" s="87"/>
      <c r="E15" s="87"/>
      <c r="F15" s="87"/>
      <c r="G15" s="87"/>
      <c r="H15" s="87"/>
      <c r="I15" s="87"/>
      <c r="J15" s="87"/>
      <c r="K15" s="87"/>
      <c r="L15" s="87"/>
      <c r="M15" s="87"/>
      <c r="N15" s="87"/>
    </row>
    <row r="16" spans="1:14">
      <c r="A16" s="87"/>
      <c r="B16" s="87"/>
      <c r="C16" s="87"/>
      <c r="D16" s="87"/>
      <c r="E16" s="87"/>
      <c r="F16" s="87"/>
      <c r="G16" s="87"/>
      <c r="H16" s="87"/>
      <c r="I16" s="87"/>
      <c r="J16" s="87"/>
      <c r="K16" s="87"/>
      <c r="L16" s="87"/>
      <c r="M16" s="87"/>
      <c r="N16" s="87"/>
    </row>
    <row r="17" spans="1:14">
      <c r="A17" s="87"/>
      <c r="B17" s="87"/>
      <c r="C17" s="87"/>
      <c r="D17" s="87"/>
      <c r="E17" s="87"/>
      <c r="F17" s="87"/>
      <c r="G17" s="87"/>
      <c r="H17" s="87"/>
      <c r="I17" s="87"/>
      <c r="J17" s="87"/>
      <c r="K17" s="87"/>
      <c r="L17" s="87"/>
      <c r="M17" s="87"/>
      <c r="N17" s="87"/>
    </row>
    <row r="18" spans="1:14">
      <c r="A18" s="87"/>
      <c r="B18" s="87"/>
      <c r="C18" s="87"/>
      <c r="D18" s="87"/>
      <c r="E18" s="87"/>
      <c r="F18" s="87"/>
      <c r="G18" s="87"/>
      <c r="H18" s="87"/>
      <c r="I18" s="87"/>
      <c r="J18" s="87"/>
      <c r="K18" s="87"/>
      <c r="L18" s="87"/>
      <c r="M18" s="87"/>
      <c r="N18" s="87"/>
    </row>
    <row r="19" spans="1:14">
      <c r="A19" s="87"/>
      <c r="B19" s="87"/>
      <c r="C19" s="87"/>
      <c r="D19" s="87"/>
      <c r="E19" s="87"/>
      <c r="F19" s="87"/>
      <c r="G19" s="87"/>
      <c r="H19" s="87"/>
      <c r="I19" s="87"/>
      <c r="J19" s="87"/>
      <c r="K19" s="87"/>
      <c r="L19" s="87"/>
      <c r="M19" s="87"/>
      <c r="N19" s="87"/>
    </row>
    <row r="20" spans="1:14">
      <c r="A20" s="87"/>
      <c r="B20" s="87"/>
      <c r="C20" s="87"/>
      <c r="D20" s="87"/>
      <c r="E20" s="87"/>
      <c r="F20" s="87"/>
      <c r="G20" s="87"/>
      <c r="H20" s="87"/>
      <c r="I20" s="87"/>
      <c r="J20" s="87"/>
      <c r="K20" s="87"/>
      <c r="L20" s="87"/>
      <c r="M20" s="87"/>
      <c r="N20" s="87"/>
    </row>
    <row r="21" spans="1:14">
      <c r="A21" s="87"/>
      <c r="B21" s="87"/>
      <c r="C21" s="87"/>
      <c r="D21" s="87"/>
      <c r="E21" s="87"/>
      <c r="F21" s="87"/>
      <c r="G21" s="87"/>
      <c r="H21" s="87"/>
      <c r="I21" s="87"/>
      <c r="J21" s="87"/>
      <c r="K21" s="87"/>
      <c r="L21" s="87"/>
      <c r="M21" s="87"/>
      <c r="N21" s="87"/>
    </row>
  </sheetData>
  <conditionalFormatting sqref="C2:C10">
    <cfRule type="containsText" dxfId="34" priority="2" operator="containsText" text="Completed"/>
    <cfRule type="containsText" dxfId="33" priority="3" operator="containsText" text="In Progress"/>
    <cfRule type="containsText" dxfId="32" priority="4" operator="containsText" text="At Risk"/>
    <cfRule type="containsText" dxfId="31" priority="5" operator="containsText" text="Not Started"/>
  </conditionalFormatting>
  <conditionalFormatting sqref="G2:G9">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{6C056180-504E-40C1-9895-D716546AF142}</x14:id>
        </ext>
      </extLst>
    </cfRule>
  </conditionalFormatting>
  <conditionalFormatting sqref="G1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extLst>
        <ext xmlns:x14="http://schemas.microsoft.com/office/spreadsheetml/2009/9/main" uri="{B025F937-C7B1-47D3-B67F-A62EFF666E3E}">
          <x14:id>{FBA7D517-A031-4FFB-9515-38C1B7F99E12}</x14:id>
        </ext>
      </extLst>
    </cfRule>
  </conditionalFormatting>
  <dataValidations count="2">
    <dataValidation type="decimal" sqref="G2:G9" xr:uid="{EED5FCF1-094C-41E5-A390-51ECCA395D7F}">
      <formula1>0</formula1>
      <formula2>1</formula2>
    </dataValidation>
    <dataValidation type="list" sqref="C2:C9" xr:uid="{1DA0B624-E48C-4D53-8539-77561C58ABCF}">
      <formula1>"Not Started,Pending,In Progress,Ongoing,At Risk,On Hold,Completed,Roadmap,Readiness,Evaluation"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C056180-504E-40C1-9895-D716546AF142}">
            <x14:dataBar>
              <x14:cfvo type="min"/>
              <x14:cfvo type="max"/>
              <x14:negativeFillColor auto="1"/>
              <x14:axisColor auto="1"/>
            </x14:dataBar>
          </x14:cfRule>
          <xm:sqref>G2:G9</xm:sqref>
        </x14:conditionalFormatting>
        <x14:conditionalFormatting xmlns:xm="http://schemas.microsoft.com/office/excel/2006/main">
          <x14:cfRule type="dataBar" id="{FBA7D517-A031-4FFB-9515-38C1B7F99E12}">
            <x14:dataBar>
              <x14:cfvo type="min"/>
              <x14:cfvo type="max"/>
              <x14:negativeFillColor auto="1"/>
              <x14:axisColor auto="1"/>
            </x14:dataBar>
          </x14:cfRule>
          <xm:sqref>G10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0"/>
  <sheetViews>
    <sheetView showGridLines="0" workbookViewId="0">
      <pane ySplit="1" topLeftCell="A2" activePane="bottomLeft" state="frozen"/>
      <selection pane="bottomLeft" activeCell="F1" sqref="F1"/>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34" customHeight="1" thickBot="1">
      <c r="A1" s="3" t="s">
        <v>0</v>
      </c>
      <c r="B1" s="3" t="s">
        <v>1</v>
      </c>
      <c r="C1" s="3" t="s">
        <v>2</v>
      </c>
      <c r="D1" s="3" t="s">
        <v>3</v>
      </c>
      <c r="E1" s="3" t="s">
        <v>4</v>
      </c>
      <c r="F1" s="6" t="s">
        <v>1275</v>
      </c>
      <c r="G1" s="3" t="s">
        <v>5</v>
      </c>
      <c r="H1" s="3" t="s">
        <v>6</v>
      </c>
      <c r="I1" s="3" t="s">
        <v>7</v>
      </c>
      <c r="J1" s="3" t="s">
        <v>8</v>
      </c>
      <c r="K1" s="3" t="s">
        <v>9</v>
      </c>
      <c r="L1" s="3" t="s">
        <v>10</v>
      </c>
      <c r="M1" s="3" t="s">
        <v>11</v>
      </c>
      <c r="N1" s="3" t="s">
        <v>12</v>
      </c>
    </row>
    <row r="2" spans="1:14" ht="26.5" customHeight="1">
      <c r="A2" s="108">
        <v>1</v>
      </c>
      <c r="B2" s="109" t="s">
        <v>581</v>
      </c>
      <c r="C2" s="110" t="s">
        <v>582</v>
      </c>
      <c r="D2" s="103" t="s">
        <v>21</v>
      </c>
      <c r="E2" s="110" t="s">
        <v>14</v>
      </c>
      <c r="F2" s="110" t="s">
        <v>291</v>
      </c>
      <c r="G2" s="111">
        <v>1</v>
      </c>
      <c r="H2" s="109" t="s">
        <v>583</v>
      </c>
      <c r="I2" s="109" t="s">
        <v>584</v>
      </c>
      <c r="J2" s="109" t="s">
        <v>585</v>
      </c>
      <c r="K2" s="109" t="s">
        <v>586</v>
      </c>
      <c r="L2" s="109" t="s">
        <v>587</v>
      </c>
      <c r="M2" s="112" t="s">
        <v>588</v>
      </c>
      <c r="N2" s="113" t="s">
        <v>589</v>
      </c>
    </row>
    <row r="3" spans="1:14" ht="116">
      <c r="A3" s="23">
        <v>2</v>
      </c>
      <c r="B3" s="24" t="s">
        <v>124</v>
      </c>
      <c r="C3" s="23" t="s">
        <v>125</v>
      </c>
      <c r="D3" s="66" t="s">
        <v>21</v>
      </c>
      <c r="E3" s="25" t="s">
        <v>14</v>
      </c>
      <c r="F3" s="22" t="s">
        <v>14</v>
      </c>
      <c r="G3" s="67">
        <v>0.9</v>
      </c>
      <c r="H3" s="24" t="s">
        <v>126</v>
      </c>
      <c r="I3" s="24" t="s">
        <v>127</v>
      </c>
      <c r="J3" s="24" t="s">
        <v>128</v>
      </c>
      <c r="K3" s="24" t="s">
        <v>129</v>
      </c>
      <c r="L3" s="24" t="s">
        <v>130</v>
      </c>
      <c r="M3" s="24" t="s">
        <v>131</v>
      </c>
      <c r="N3" s="68" t="s">
        <v>132</v>
      </c>
    </row>
    <row r="4" spans="1:14" ht="108" customHeight="1">
      <c r="A4" s="23">
        <v>3</v>
      </c>
      <c r="B4" s="24" t="s">
        <v>133</v>
      </c>
      <c r="C4" s="23" t="s">
        <v>426</v>
      </c>
      <c r="D4" s="88" t="s">
        <v>13</v>
      </c>
      <c r="E4" s="25" t="s">
        <v>427</v>
      </c>
      <c r="F4" s="26" t="s">
        <v>428</v>
      </c>
      <c r="G4" s="67">
        <v>0.7</v>
      </c>
      <c r="H4" s="24" t="s">
        <v>429</v>
      </c>
      <c r="I4" s="24" t="s">
        <v>430</v>
      </c>
      <c r="J4" s="24" t="s">
        <v>431</v>
      </c>
      <c r="K4" s="24" t="s">
        <v>432</v>
      </c>
      <c r="L4" s="24" t="s">
        <v>433</v>
      </c>
      <c r="M4" s="24" t="s">
        <v>434</v>
      </c>
      <c r="N4" s="69" t="s">
        <v>435</v>
      </c>
    </row>
    <row r="5" spans="1:14" ht="116" customHeight="1">
      <c r="A5" s="100">
        <v>4</v>
      </c>
      <c r="B5" s="101" t="s">
        <v>134</v>
      </c>
      <c r="C5" s="102" t="s">
        <v>572</v>
      </c>
      <c r="D5" s="103" t="s">
        <v>21</v>
      </c>
      <c r="E5" s="104">
        <v>46240</v>
      </c>
      <c r="F5" s="102" t="s">
        <v>573</v>
      </c>
      <c r="G5" s="105">
        <v>1</v>
      </c>
      <c r="H5" s="101" t="s">
        <v>574</v>
      </c>
      <c r="I5" s="101" t="s">
        <v>575</v>
      </c>
      <c r="J5" s="101" t="s">
        <v>576</v>
      </c>
      <c r="K5" s="101" t="s">
        <v>577</v>
      </c>
      <c r="L5" s="101" t="s">
        <v>578</v>
      </c>
      <c r="M5" s="106" t="s">
        <v>579</v>
      </c>
      <c r="N5" s="107" t="s">
        <v>580</v>
      </c>
    </row>
    <row r="6" spans="1:14" ht="174">
      <c r="A6" s="23">
        <v>5</v>
      </c>
      <c r="B6" s="24" t="s">
        <v>135</v>
      </c>
      <c r="C6" s="23" t="s">
        <v>381</v>
      </c>
      <c r="D6" s="70" t="s">
        <v>13</v>
      </c>
      <c r="E6" s="25" t="s">
        <v>266</v>
      </c>
      <c r="F6" s="26" t="s">
        <v>382</v>
      </c>
      <c r="G6" s="67">
        <v>0.7</v>
      </c>
      <c r="H6" s="24" t="s">
        <v>383</v>
      </c>
      <c r="I6" s="24" t="s">
        <v>384</v>
      </c>
      <c r="J6" s="24" t="s">
        <v>385</v>
      </c>
      <c r="K6" s="24" t="s">
        <v>386</v>
      </c>
      <c r="L6" s="24" t="s">
        <v>387</v>
      </c>
      <c r="M6" s="24" t="s">
        <v>388</v>
      </c>
      <c r="N6" s="69" t="s">
        <v>389</v>
      </c>
    </row>
    <row r="7" spans="1:14" ht="72.5">
      <c r="A7" s="23">
        <v>6</v>
      </c>
      <c r="B7" s="24" t="s">
        <v>137</v>
      </c>
      <c r="C7" s="23" t="s">
        <v>67</v>
      </c>
      <c r="D7" s="66" t="s">
        <v>21</v>
      </c>
      <c r="E7" s="25">
        <v>46234</v>
      </c>
      <c r="F7" s="26" t="s">
        <v>291</v>
      </c>
      <c r="G7" s="67">
        <v>1</v>
      </c>
      <c r="H7" s="24" t="s">
        <v>138</v>
      </c>
      <c r="I7" s="24" t="s">
        <v>139</v>
      </c>
      <c r="J7" s="24" t="s">
        <v>140</v>
      </c>
      <c r="K7" s="24" t="s">
        <v>141</v>
      </c>
      <c r="L7" s="24" t="s">
        <v>142</v>
      </c>
      <c r="M7" s="24" t="s">
        <v>143</v>
      </c>
      <c r="N7" s="68" t="s">
        <v>136</v>
      </c>
    </row>
    <row r="8" spans="1:14" ht="116">
      <c r="A8" s="2">
        <v>7</v>
      </c>
      <c r="B8" s="24" t="s">
        <v>144</v>
      </c>
      <c r="C8" s="23" t="s">
        <v>390</v>
      </c>
      <c r="D8" s="88" t="s">
        <v>13</v>
      </c>
      <c r="E8" s="25">
        <v>46188</v>
      </c>
      <c r="F8" s="26" t="s">
        <v>391</v>
      </c>
      <c r="G8" s="67">
        <v>0.8</v>
      </c>
      <c r="H8" s="24" t="s">
        <v>392</v>
      </c>
      <c r="I8" s="24" t="s">
        <v>393</v>
      </c>
      <c r="J8" s="24" t="s">
        <v>394</v>
      </c>
      <c r="K8" s="24" t="s">
        <v>395</v>
      </c>
      <c r="L8" s="24" t="s">
        <v>396</v>
      </c>
      <c r="M8" s="24" t="s">
        <v>397</v>
      </c>
      <c r="N8" s="69" t="s">
        <v>398</v>
      </c>
    </row>
    <row r="9" spans="1:14" ht="188.5">
      <c r="A9" s="23">
        <v>8</v>
      </c>
      <c r="B9" s="24" t="s">
        <v>289</v>
      </c>
      <c r="C9" s="23" t="s">
        <v>399</v>
      </c>
      <c r="D9" s="70" t="s">
        <v>13</v>
      </c>
      <c r="E9" s="25" t="s">
        <v>290</v>
      </c>
      <c r="F9" s="26" t="s">
        <v>400</v>
      </c>
      <c r="G9" s="67">
        <v>0.7</v>
      </c>
      <c r="H9" s="24" t="s">
        <v>401</v>
      </c>
      <c r="I9" s="24" t="s">
        <v>402</v>
      </c>
      <c r="J9" s="24" t="s">
        <v>403</v>
      </c>
      <c r="K9" s="24" t="s">
        <v>404</v>
      </c>
      <c r="L9" s="24" t="s">
        <v>405</v>
      </c>
      <c r="M9" s="24" t="s">
        <v>406</v>
      </c>
      <c r="N9" s="71" t="s">
        <v>407</v>
      </c>
    </row>
    <row r="10" spans="1:14" ht="232">
      <c r="A10" s="21">
        <v>9</v>
      </c>
      <c r="B10" s="89" t="s">
        <v>436</v>
      </c>
      <c r="C10" s="90" t="s">
        <v>437</v>
      </c>
      <c r="D10" s="88" t="s">
        <v>13</v>
      </c>
      <c r="E10" s="91" t="s">
        <v>438</v>
      </c>
      <c r="F10" s="67" t="s">
        <v>439</v>
      </c>
      <c r="G10" s="67">
        <v>0.25</v>
      </c>
      <c r="H10" s="89" t="s">
        <v>440</v>
      </c>
      <c r="I10" s="89" t="s">
        <v>441</v>
      </c>
      <c r="J10" s="89" t="s">
        <v>442</v>
      </c>
      <c r="K10" s="89" t="s">
        <v>443</v>
      </c>
      <c r="L10" s="89" t="s">
        <v>444</v>
      </c>
      <c r="M10" s="89" t="s">
        <v>445</v>
      </c>
      <c r="N10" s="92" t="s">
        <v>446</v>
      </c>
    </row>
  </sheetData>
  <conditionalFormatting sqref="C3:C4 C6:C8">
    <cfRule type="containsText" dxfId="30" priority="11" operator="containsText" text="At Risk"/>
    <cfRule type="containsText" dxfId="29" priority="12" operator="containsText" text="Yellow"/>
    <cfRule type="containsText" dxfId="28" priority="13" operator="containsText" text="Validation Pending"/>
  </conditionalFormatting>
  <conditionalFormatting sqref="D3:D4 D6:D8">
    <cfRule type="containsText" dxfId="27" priority="1" operator="containsText" text="At Risk"/>
    <cfRule type="containsText" dxfId="26" priority="2" operator="containsText" text="Amber"/>
    <cfRule type="containsText" dxfId="25" priority="3" operator="containsText" text="Green"/>
  </conditionalFormatting>
  <conditionalFormatting sqref="F3">
    <cfRule type="dataBar" priority="4">
      <dataBar>
        <cfvo type="min"/>
        <cfvo type="max"/>
        <color rgb="FF5B9BD5"/>
      </dataBar>
    </cfRule>
    <cfRule type="dataBar" priority="9">
      <dataBar>
        <cfvo type="min"/>
        <cfvo type="max"/>
        <color rgb="FF5B9BD5"/>
      </dataBar>
    </cfRule>
    <cfRule type="dataBar" priority="32">
      <dataBar>
        <cfvo type="min"/>
        <cfvo type="max"/>
        <color rgb="FF5B9BD5"/>
      </dataBar>
    </cfRule>
    <cfRule type="dataBar" priority="14">
      <dataBar>
        <cfvo type="min"/>
        <cfvo type="max"/>
        <color rgb="FF5B9BD5"/>
      </dataBar>
    </cfRule>
    <cfRule type="dataBar" priority="34">
      <dataBar>
        <cfvo type="min"/>
        <cfvo type="max"/>
        <color rgb="FF5B9BD5"/>
      </dataBar>
    </cfRule>
    <cfRule type="dataBar" priority="16">
      <dataBar>
        <cfvo type="min"/>
        <cfvo type="max"/>
        <color rgb="FF5B9BD5"/>
      </dataBar>
    </cfRule>
    <cfRule type="dataBar" priority="36">
      <dataBar>
        <cfvo type="min"/>
        <cfvo type="max"/>
        <color rgb="FF5B9BD5"/>
      </dataBar>
    </cfRule>
    <cfRule type="dataBar" priority="18">
      <dataBar>
        <cfvo type="min"/>
        <cfvo type="max"/>
        <color rgb="FF5B9BD5"/>
      </dataBar>
    </cfRule>
    <cfRule type="dataBar" priority="38">
      <dataBar>
        <cfvo type="min"/>
        <cfvo type="max"/>
        <color rgb="FF5B9BD5"/>
      </dataBar>
    </cfRule>
    <cfRule type="dataBar" priority="20">
      <dataBar>
        <cfvo type="min"/>
        <cfvo type="max"/>
        <color rgb="FF5B9BD5"/>
      </dataBar>
    </cfRule>
    <cfRule type="dataBar" priority="40">
      <dataBar>
        <cfvo type="min"/>
        <cfvo type="max"/>
        <color rgb="FF5B9BD5"/>
      </dataBar>
    </cfRule>
    <cfRule type="dataBar" priority="22">
      <dataBar>
        <cfvo type="min"/>
        <cfvo type="max"/>
        <color rgb="FF5B9BD5"/>
      </dataBar>
    </cfRule>
    <cfRule type="dataBar" priority="42">
      <dataBar>
        <cfvo type="min"/>
        <cfvo type="max"/>
        <color rgb="FF5B9BD5"/>
      </dataBar>
      <extLst>
        <ext xmlns:x14="http://schemas.microsoft.com/office/spreadsheetml/2009/9/main" uri="{B025F937-C7B1-47D3-B67F-A62EFF666E3E}">
          <x14:id>{7DC73D10-7A36-417C-8DE8-EA5C13E12346}</x14:id>
        </ext>
      </extLst>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onditionalFormatting>
  <conditionalFormatting sqref="F3:F4 F6:F8">
    <cfRule type="dataBar" priority="10">
      <dataBar>
        <cfvo type="min"/>
        <cfvo type="max"/>
        <color rgb="FF5B9BD5"/>
      </dataBar>
    </cfRule>
    <cfRule type="dataBar" priority="15">
      <dataBar>
        <cfvo type="min"/>
        <cfvo type="max"/>
        <color rgb="FF5B9BD5"/>
      </dataBar>
    </cfRule>
    <cfRule type="dataBar" priority="17">
      <dataBar>
        <cfvo type="min"/>
        <cfvo type="max"/>
        <color rgb="FF5B9BD5"/>
      </dataBar>
    </cfRule>
    <cfRule type="dataBar" priority="19">
      <dataBar>
        <cfvo type="min"/>
        <cfvo type="max"/>
        <color rgb="FF5B9BD5"/>
      </dataBar>
    </cfRule>
    <cfRule type="dataBar" priority="21">
      <dataBar>
        <cfvo type="min"/>
        <cfvo type="max"/>
        <color rgb="FF5B9BD5"/>
      </dataBar>
    </cfRule>
    <cfRule type="dataBar" priority="23">
      <dataBar>
        <cfvo type="min"/>
        <cfvo type="max"/>
        <color rgb="FF5B9BD5"/>
      </dataBar>
    </cfRule>
    <cfRule type="dataBar" priority="29">
      <dataBar>
        <cfvo type="min"/>
        <cfvo type="max"/>
        <color rgb="FF5B9BD5"/>
      </dataBar>
    </cfRule>
    <cfRule type="dataBar" priority="35">
      <dataBar>
        <cfvo type="min"/>
        <cfvo type="max"/>
        <color rgb="FF5B9BD5"/>
      </dataBar>
    </cfRule>
    <cfRule type="dataBar" priority="27">
      <dataBar>
        <cfvo type="min"/>
        <cfvo type="max"/>
        <color rgb="FF5B9BD5"/>
      </dataBar>
    </cfRule>
    <cfRule type="dataBar" priority="37">
      <dataBar>
        <cfvo type="min"/>
        <cfvo type="max"/>
        <color rgb="FF5B9BD5"/>
      </dataBar>
    </cfRule>
    <cfRule type="dataBar" priority="31">
      <dataBar>
        <cfvo type="min"/>
        <cfvo type="max"/>
        <color rgb="FF5B9BD5"/>
      </dataBar>
    </cfRule>
    <cfRule type="dataBar" priority="39">
      <dataBar>
        <cfvo type="min"/>
        <cfvo type="max"/>
        <color rgb="FF5B9BD5"/>
      </dataBar>
    </cfRule>
    <cfRule type="dataBar" priority="25">
      <dataBar>
        <cfvo type="min"/>
        <cfvo type="max"/>
        <color rgb="FF5B9BD5"/>
      </dataBar>
    </cfRule>
    <cfRule type="dataBar" priority="41">
      <dataBar>
        <cfvo type="min"/>
        <cfvo type="max"/>
        <color rgb="FF5B9BD5"/>
      </dataBar>
    </cfRule>
    <cfRule type="dataBar" priority="33">
      <dataBar>
        <cfvo type="min"/>
        <cfvo type="max"/>
        <color rgb="FF5B9BD5"/>
      </dataBar>
    </cfRule>
    <cfRule type="dataBar" priority="43">
      <dataBar>
        <cfvo type="min"/>
        <cfvo type="max"/>
        <color rgb="FF5B9BD5"/>
      </dataBar>
      <extLst>
        <ext xmlns:x14="http://schemas.microsoft.com/office/spreadsheetml/2009/9/main" uri="{B025F937-C7B1-47D3-B67F-A62EFF666E3E}">
          <x14:id>{38FFD1B6-A205-43AA-B181-89FB4925F9DA}</x14:id>
        </ext>
      </extLst>
    </cfRule>
  </conditionalFormatting>
  <dataValidations disablePrompts="1" count="3">
    <dataValidation type="decimal" sqref="F6:F7 F3:F4" xr:uid="{3D8462A7-7027-4EF5-8491-48F4C8AB036C}">
      <formula1>0</formula1>
      <formula2>1</formula2>
    </dataValidation>
    <dataValidation type="list" sqref="C3:C4" xr:uid="{381167A7-2D7F-4D37-A924-7178DAF91C91}">
      <formula1>"Not Started,In Progress,At Risk / In Progress,At Risk / Support Needed,Validation Pending,Yellow – Testing Progressing,On Hold,Completed"</formula1>
    </dataValidation>
    <dataValidation type="list" sqref="D6:D8 D3:D4" xr:uid="{1E32DF0C-6CE7-476E-83E2-B2C3371FFDB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DC73D10-7A36-417C-8DE8-EA5C13E12346}">
            <x14:dataBar>
              <x14:cfvo type="min"/>
              <x14:cfvo type="max"/>
              <x14:negativeFillColor auto="1"/>
              <x14:axisColor auto="1"/>
            </x14:dataBar>
          </x14:cfRule>
          <xm:sqref>F3</xm:sqref>
        </x14:conditionalFormatting>
        <x14:conditionalFormatting xmlns:xm="http://schemas.microsoft.com/office/excel/2006/main">
          <x14:cfRule type="dataBar" id="{38FFD1B6-A205-43AA-B181-89FB4925F9DA}">
            <x14:dataBar>
              <x14:cfvo type="min"/>
              <x14:cfvo type="max"/>
              <x14:negativeFillColor auto="1"/>
              <x14:axisColor auto="1"/>
            </x14:dataBar>
          </x14:cfRule>
          <xm:sqref>F3:F4 F6:F8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8"/>
  <sheetViews>
    <sheetView showGridLines="0" workbookViewId="0">
      <pane ySplit="1" topLeftCell="A2" activePane="bottomLeft" state="frozen"/>
      <selection pane="bottomLeft" activeCell="F1" sqref="F1"/>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72" t="s">
        <v>0</v>
      </c>
      <c r="B1" s="72" t="s">
        <v>1</v>
      </c>
      <c r="C1" s="72" t="s">
        <v>2</v>
      </c>
      <c r="D1" s="72" t="s">
        <v>3</v>
      </c>
      <c r="E1" s="72" t="s">
        <v>4</v>
      </c>
      <c r="F1" s="6" t="s">
        <v>1275</v>
      </c>
      <c r="G1" s="72" t="s">
        <v>5</v>
      </c>
      <c r="H1" s="72" t="s">
        <v>6</v>
      </c>
      <c r="I1" s="72" t="s">
        <v>7</v>
      </c>
      <c r="J1" s="72" t="s">
        <v>8</v>
      </c>
      <c r="K1" s="72" t="s">
        <v>9</v>
      </c>
      <c r="L1" s="72" t="s">
        <v>10</v>
      </c>
      <c r="M1" s="72" t="s">
        <v>11</v>
      </c>
      <c r="N1" s="72" t="s">
        <v>12</v>
      </c>
    </row>
    <row r="2" spans="1:14" ht="15" customHeight="1">
      <c r="A2" s="7">
        <v>1</v>
      </c>
      <c r="B2" s="8" t="s">
        <v>145</v>
      </c>
      <c r="C2" s="73" t="s">
        <v>447</v>
      </c>
      <c r="D2" s="74" t="s">
        <v>13</v>
      </c>
      <c r="E2" s="9" t="s">
        <v>14</v>
      </c>
      <c r="F2" s="9" t="s">
        <v>14</v>
      </c>
      <c r="G2" s="19">
        <v>0.6</v>
      </c>
      <c r="H2" s="8" t="s">
        <v>146</v>
      </c>
      <c r="I2" s="8" t="s">
        <v>147</v>
      </c>
      <c r="J2" s="8" t="s">
        <v>148</v>
      </c>
      <c r="K2" s="8" t="s">
        <v>414</v>
      </c>
      <c r="L2" s="8" t="s">
        <v>149</v>
      </c>
      <c r="M2" s="8" t="s">
        <v>150</v>
      </c>
      <c r="N2" s="5" t="s">
        <v>15</v>
      </c>
    </row>
    <row r="3" spans="1:14" ht="160" customHeight="1">
      <c r="A3" s="11">
        <v>2</v>
      </c>
      <c r="B3" s="12" t="s">
        <v>346</v>
      </c>
      <c r="C3" s="75" t="s">
        <v>448</v>
      </c>
      <c r="D3" s="75" t="s">
        <v>260</v>
      </c>
      <c r="E3" s="13">
        <v>46237</v>
      </c>
      <c r="F3" s="58" t="s">
        <v>449</v>
      </c>
      <c r="G3" s="14">
        <v>0.55000000000000004</v>
      </c>
      <c r="H3" s="12" t="s">
        <v>450</v>
      </c>
      <c r="I3" s="12" t="s">
        <v>451</v>
      </c>
      <c r="J3" s="12" t="s">
        <v>452</v>
      </c>
      <c r="K3" s="12" t="s">
        <v>453</v>
      </c>
      <c r="L3" s="12" t="s">
        <v>454</v>
      </c>
      <c r="M3" s="12" t="s">
        <v>455</v>
      </c>
      <c r="N3" s="12" t="s">
        <v>456</v>
      </c>
    </row>
    <row r="4" spans="1:14" ht="160" customHeight="1">
      <c r="A4" s="7">
        <v>3</v>
      </c>
      <c r="B4" s="8" t="s">
        <v>347</v>
      </c>
      <c r="C4" s="73" t="s">
        <v>320</v>
      </c>
      <c r="D4" s="93" t="s">
        <v>13</v>
      </c>
      <c r="E4" s="9">
        <v>46043</v>
      </c>
      <c r="F4" s="57">
        <v>46407</v>
      </c>
      <c r="G4" s="19">
        <v>0.65</v>
      </c>
      <c r="H4" s="8" t="s">
        <v>321</v>
      </c>
      <c r="I4" s="8" t="s">
        <v>322</v>
      </c>
      <c r="J4" s="8" t="s">
        <v>323</v>
      </c>
      <c r="K4" s="8" t="s">
        <v>415</v>
      </c>
      <c r="L4" s="8" t="s">
        <v>324</v>
      </c>
      <c r="M4" s="8" t="s">
        <v>325</v>
      </c>
      <c r="N4" s="5" t="s">
        <v>326</v>
      </c>
    </row>
    <row r="5" spans="1:14" ht="160" customHeight="1">
      <c r="A5" s="7">
        <v>4</v>
      </c>
      <c r="B5" s="8" t="s">
        <v>348</v>
      </c>
      <c r="C5" s="75" t="s">
        <v>457</v>
      </c>
      <c r="D5" s="94" t="s">
        <v>260</v>
      </c>
      <c r="E5" s="9">
        <v>46267</v>
      </c>
      <c r="F5" s="57" t="s">
        <v>327</v>
      </c>
      <c r="G5" s="19">
        <v>0.6</v>
      </c>
      <c r="H5" s="8" t="s">
        <v>458</v>
      </c>
      <c r="I5" s="8" t="s">
        <v>459</v>
      </c>
      <c r="J5" s="8" t="s">
        <v>460</v>
      </c>
      <c r="K5" s="8" t="s">
        <v>461</v>
      </c>
      <c r="L5" s="8" t="s">
        <v>462</v>
      </c>
      <c r="M5" s="8" t="s">
        <v>463</v>
      </c>
      <c r="N5" s="5" t="s">
        <v>464</v>
      </c>
    </row>
    <row r="6" spans="1:14" ht="160" customHeight="1">
      <c r="A6" s="7">
        <v>5</v>
      </c>
      <c r="B6" s="8" t="s">
        <v>151</v>
      </c>
      <c r="C6" s="75" t="s">
        <v>465</v>
      </c>
      <c r="D6" s="75" t="s">
        <v>260</v>
      </c>
      <c r="E6" s="9">
        <v>46267</v>
      </c>
      <c r="F6" s="57" t="s">
        <v>328</v>
      </c>
      <c r="G6" s="19">
        <v>0.55000000000000004</v>
      </c>
      <c r="H6" s="8" t="s">
        <v>466</v>
      </c>
      <c r="I6" s="8" t="s">
        <v>467</v>
      </c>
      <c r="J6" s="8" t="s">
        <v>468</v>
      </c>
      <c r="K6" s="8" t="s">
        <v>349</v>
      </c>
      <c r="L6" s="8" t="s">
        <v>469</v>
      </c>
      <c r="M6" s="8" t="s">
        <v>470</v>
      </c>
      <c r="N6" s="5" t="s">
        <v>471</v>
      </c>
    </row>
    <row r="7" spans="1:14" ht="15" customHeight="1">
      <c r="A7" s="7">
        <v>6</v>
      </c>
      <c r="B7" s="8" t="s">
        <v>152</v>
      </c>
      <c r="C7" s="73" t="s">
        <v>153</v>
      </c>
      <c r="D7" s="93" t="s">
        <v>13</v>
      </c>
      <c r="E7" s="9">
        <v>46237</v>
      </c>
      <c r="F7" s="57" t="s">
        <v>14</v>
      </c>
      <c r="G7" s="19">
        <v>0.75</v>
      </c>
      <c r="H7" s="8" t="s">
        <v>154</v>
      </c>
      <c r="I7" s="8" t="s">
        <v>155</v>
      </c>
      <c r="J7" s="8" t="s">
        <v>156</v>
      </c>
      <c r="K7" s="8" t="s">
        <v>414</v>
      </c>
      <c r="L7" s="8" t="s">
        <v>157</v>
      </c>
      <c r="M7" s="8" t="s">
        <v>158</v>
      </c>
      <c r="N7" s="5" t="s">
        <v>15</v>
      </c>
    </row>
    <row r="8" spans="1:14" ht="160" customHeight="1">
      <c r="A8" s="7">
        <v>7</v>
      </c>
      <c r="B8" s="8" t="s">
        <v>159</v>
      </c>
      <c r="C8" s="73" t="s">
        <v>329</v>
      </c>
      <c r="D8" s="93" t="s">
        <v>13</v>
      </c>
      <c r="E8" s="9">
        <v>46266</v>
      </c>
      <c r="F8" s="57" t="s">
        <v>330</v>
      </c>
      <c r="G8" s="19">
        <v>0.48</v>
      </c>
      <c r="H8" s="8" t="s">
        <v>331</v>
      </c>
      <c r="I8" s="8" t="s">
        <v>332</v>
      </c>
      <c r="J8" s="8" t="s">
        <v>333</v>
      </c>
      <c r="K8" s="8" t="s">
        <v>334</v>
      </c>
      <c r="L8" s="8" t="s">
        <v>335</v>
      </c>
      <c r="M8" s="8" t="s">
        <v>336</v>
      </c>
      <c r="N8" s="5" t="s">
        <v>337</v>
      </c>
    </row>
    <row r="9" spans="1:14" ht="26.5" customHeight="1">
      <c r="A9" s="7">
        <v>8</v>
      </c>
      <c r="B9" s="8" t="s">
        <v>160</v>
      </c>
      <c r="C9" s="73" t="s">
        <v>161</v>
      </c>
      <c r="D9" s="93" t="s">
        <v>13</v>
      </c>
      <c r="E9" s="9">
        <v>46237</v>
      </c>
      <c r="F9" s="57" t="s">
        <v>14</v>
      </c>
      <c r="G9" s="19">
        <v>0.6</v>
      </c>
      <c r="H9" s="8" t="s">
        <v>162</v>
      </c>
      <c r="I9" s="8" t="s">
        <v>163</v>
      </c>
      <c r="J9" s="8" t="s">
        <v>164</v>
      </c>
      <c r="K9" s="8" t="s">
        <v>414</v>
      </c>
      <c r="L9" s="8" t="s">
        <v>165</v>
      </c>
      <c r="M9" s="8" t="s">
        <v>166</v>
      </c>
      <c r="N9" s="5" t="s">
        <v>15</v>
      </c>
    </row>
    <row r="10" spans="1:14" ht="26.5" customHeight="1">
      <c r="A10" s="7">
        <v>9</v>
      </c>
      <c r="B10" s="8" t="s">
        <v>167</v>
      </c>
      <c r="C10" s="73" t="s">
        <v>168</v>
      </c>
      <c r="D10" s="93" t="s">
        <v>13</v>
      </c>
      <c r="E10" s="9">
        <v>46237</v>
      </c>
      <c r="F10" s="57" t="s">
        <v>14</v>
      </c>
      <c r="G10" s="19">
        <v>0.6</v>
      </c>
      <c r="H10" s="8" t="s">
        <v>169</v>
      </c>
      <c r="I10" s="8" t="s">
        <v>170</v>
      </c>
      <c r="J10" s="8" t="s">
        <v>171</v>
      </c>
      <c r="K10" s="8" t="s">
        <v>414</v>
      </c>
      <c r="L10" s="8" t="s">
        <v>172</v>
      </c>
      <c r="M10" s="8" t="s">
        <v>173</v>
      </c>
      <c r="N10" s="5" t="s">
        <v>15</v>
      </c>
    </row>
    <row r="11" spans="1:14" ht="26.5" customHeight="1">
      <c r="A11" s="7">
        <v>10</v>
      </c>
      <c r="B11" s="8" t="s">
        <v>174</v>
      </c>
      <c r="C11" s="73" t="s">
        <v>175</v>
      </c>
      <c r="D11" s="93" t="s">
        <v>13</v>
      </c>
      <c r="E11" s="9">
        <v>46237</v>
      </c>
      <c r="F11" s="57" t="s">
        <v>14</v>
      </c>
      <c r="G11" s="19">
        <v>0.6</v>
      </c>
      <c r="H11" s="8" t="s">
        <v>176</v>
      </c>
      <c r="I11" s="8" t="s">
        <v>177</v>
      </c>
      <c r="J11" s="8" t="s">
        <v>178</v>
      </c>
      <c r="K11" s="8" t="s">
        <v>414</v>
      </c>
      <c r="L11" s="8" t="s">
        <v>179</v>
      </c>
      <c r="M11" s="8" t="s">
        <v>180</v>
      </c>
      <c r="N11" s="5" t="s">
        <v>15</v>
      </c>
    </row>
    <row r="12" spans="1:14" ht="15" customHeight="1">
      <c r="A12" s="7">
        <v>11</v>
      </c>
      <c r="B12" s="8" t="s">
        <v>181</v>
      </c>
      <c r="C12" s="73" t="s">
        <v>182</v>
      </c>
      <c r="D12" s="93" t="s">
        <v>13</v>
      </c>
      <c r="E12" s="9">
        <v>46237</v>
      </c>
      <c r="F12" s="57" t="s">
        <v>14</v>
      </c>
      <c r="G12" s="19">
        <v>0.5</v>
      </c>
      <c r="H12" s="8" t="s">
        <v>183</v>
      </c>
      <c r="I12" s="8" t="s">
        <v>184</v>
      </c>
      <c r="J12" s="8" t="s">
        <v>185</v>
      </c>
      <c r="K12" s="8" t="s">
        <v>414</v>
      </c>
      <c r="L12" s="8" t="s">
        <v>186</v>
      </c>
      <c r="M12" s="8" t="s">
        <v>187</v>
      </c>
      <c r="N12" s="5" t="s">
        <v>15</v>
      </c>
    </row>
    <row r="13" spans="1:14" ht="160" customHeight="1">
      <c r="A13" s="11">
        <v>12</v>
      </c>
      <c r="B13" s="95" t="s">
        <v>350</v>
      </c>
      <c r="C13" s="75" t="s">
        <v>472</v>
      </c>
      <c r="D13" s="94" t="s">
        <v>260</v>
      </c>
      <c r="E13" s="13">
        <v>46280</v>
      </c>
      <c r="F13" s="58" t="s">
        <v>473</v>
      </c>
      <c r="G13" s="14">
        <v>0.55000000000000004</v>
      </c>
      <c r="H13" s="12" t="s">
        <v>474</v>
      </c>
      <c r="I13" s="12" t="s">
        <v>475</v>
      </c>
      <c r="J13" s="12" t="s">
        <v>476</v>
      </c>
      <c r="K13" s="12" t="s">
        <v>477</v>
      </c>
      <c r="L13" s="12" t="s">
        <v>478</v>
      </c>
      <c r="M13" s="12" t="s">
        <v>479</v>
      </c>
      <c r="N13" s="12" t="s">
        <v>480</v>
      </c>
    </row>
    <row r="14" spans="1:14" ht="96" customHeight="1">
      <c r="A14" s="11">
        <v>13</v>
      </c>
      <c r="B14" s="12" t="s">
        <v>188</v>
      </c>
      <c r="C14" s="73" t="s">
        <v>189</v>
      </c>
      <c r="D14" s="74" t="s">
        <v>13</v>
      </c>
      <c r="E14" s="13" t="s">
        <v>190</v>
      </c>
      <c r="F14" s="58" t="s">
        <v>191</v>
      </c>
      <c r="G14" s="14">
        <v>0.75</v>
      </c>
      <c r="H14" s="12" t="s">
        <v>192</v>
      </c>
      <c r="I14" s="12" t="s">
        <v>351</v>
      </c>
      <c r="J14" s="12" t="s">
        <v>193</v>
      </c>
      <c r="K14" s="12" t="s">
        <v>194</v>
      </c>
      <c r="L14" s="12" t="s">
        <v>195</v>
      </c>
      <c r="M14" s="12" t="s">
        <v>196</v>
      </c>
      <c r="N14" s="12" t="s">
        <v>35</v>
      </c>
    </row>
    <row r="15" spans="1:14" ht="96" customHeight="1">
      <c r="A15" s="11">
        <v>14</v>
      </c>
      <c r="B15" s="12" t="s">
        <v>197</v>
      </c>
      <c r="C15" s="73" t="s">
        <v>198</v>
      </c>
      <c r="D15" s="74" t="s">
        <v>13</v>
      </c>
      <c r="E15" s="13" t="s">
        <v>14</v>
      </c>
      <c r="F15" s="58" t="s">
        <v>14</v>
      </c>
      <c r="G15" s="14">
        <v>0.7</v>
      </c>
      <c r="H15" s="12" t="s">
        <v>199</v>
      </c>
      <c r="I15" s="12" t="s">
        <v>261</v>
      </c>
      <c r="J15" s="12" t="s">
        <v>262</v>
      </c>
      <c r="K15" s="12" t="s">
        <v>416</v>
      </c>
      <c r="L15" s="12" t="s">
        <v>263</v>
      </c>
      <c r="M15" s="12" t="s">
        <v>200</v>
      </c>
      <c r="N15" s="12" t="s">
        <v>264</v>
      </c>
    </row>
    <row r="16" spans="1:14" ht="160" customHeight="1">
      <c r="A16" s="15">
        <v>15</v>
      </c>
      <c r="B16" s="5" t="s">
        <v>201</v>
      </c>
      <c r="C16" s="73" t="s">
        <v>338</v>
      </c>
      <c r="D16" s="74" t="s">
        <v>13</v>
      </c>
      <c r="E16" s="16">
        <v>46283</v>
      </c>
      <c r="F16" s="96" t="s">
        <v>339</v>
      </c>
      <c r="G16" s="17">
        <v>0.65</v>
      </c>
      <c r="H16" s="5" t="s">
        <v>340</v>
      </c>
      <c r="I16" s="5" t="s">
        <v>341</v>
      </c>
      <c r="J16" s="5" t="s">
        <v>342</v>
      </c>
      <c r="K16" s="5" t="s">
        <v>417</v>
      </c>
      <c r="L16" s="5" t="s">
        <v>343</v>
      </c>
      <c r="M16" s="5" t="s">
        <v>344</v>
      </c>
      <c r="N16" s="5" t="s">
        <v>345</v>
      </c>
    </row>
    <row r="17" spans="1:14" ht="160" customHeight="1">
      <c r="A17" s="15">
        <v>16</v>
      </c>
      <c r="B17" s="5" t="s">
        <v>265</v>
      </c>
      <c r="C17" s="73" t="s">
        <v>481</v>
      </c>
      <c r="D17" s="74" t="s">
        <v>13</v>
      </c>
      <c r="E17" s="16">
        <v>46286</v>
      </c>
      <c r="F17" s="96" t="s">
        <v>482</v>
      </c>
      <c r="G17" s="17">
        <v>0.7</v>
      </c>
      <c r="H17" s="5" t="s">
        <v>483</v>
      </c>
      <c r="I17" s="5" t="s">
        <v>484</v>
      </c>
      <c r="J17" s="5" t="s">
        <v>485</v>
      </c>
      <c r="K17" s="5" t="s">
        <v>486</v>
      </c>
      <c r="L17" s="5" t="s">
        <v>487</v>
      </c>
      <c r="M17" s="5" t="s">
        <v>488</v>
      </c>
      <c r="N17" s="5" t="s">
        <v>489</v>
      </c>
    </row>
    <row r="18" spans="1:14" ht="182">
      <c r="A18" s="15">
        <v>17</v>
      </c>
      <c r="B18" s="5" t="s">
        <v>490</v>
      </c>
      <c r="C18" s="73" t="s">
        <v>491</v>
      </c>
      <c r="D18" s="74" t="s">
        <v>13</v>
      </c>
      <c r="E18" s="16">
        <v>46316</v>
      </c>
      <c r="F18" s="96" t="s">
        <v>492</v>
      </c>
      <c r="G18" s="17">
        <v>0.25</v>
      </c>
      <c r="H18" s="5" t="s">
        <v>493</v>
      </c>
      <c r="I18" s="5" t="s">
        <v>494</v>
      </c>
      <c r="J18" s="5" t="s">
        <v>495</v>
      </c>
      <c r="K18" s="5" t="s">
        <v>496</v>
      </c>
      <c r="L18" s="5" t="s">
        <v>497</v>
      </c>
      <c r="M18" s="5" t="s">
        <v>498</v>
      </c>
      <c r="N18" s="5" t="s">
        <v>489</v>
      </c>
    </row>
  </sheetData>
  <conditionalFormatting sqref="B13">
    <cfRule type="containsText" dxfId="24" priority="1" operator="containsText" text="Completed"/>
    <cfRule type="containsText" dxfId="23" priority="2" operator="containsText" text="In Progress"/>
    <cfRule type="containsText" dxfId="22" priority="3" operator="containsText" text="At Risk"/>
    <cfRule type="containsText" dxfId="21" priority="4" operator="containsText" text="Not Started"/>
  </conditionalFormatting>
  <conditionalFormatting sqref="C2:C13">
    <cfRule type="containsText" dxfId="20" priority="6" operator="containsText" text="Completed"/>
    <cfRule type="containsText" dxfId="19" priority="7" operator="containsText" text="In Progress"/>
    <cfRule type="containsText" dxfId="18" priority="9" operator="containsText" text="Not Started"/>
  </conditionalFormatting>
  <conditionalFormatting sqref="C2:D13">
    <cfRule type="containsText" dxfId="17" priority="8" operator="containsText" text="At Risk"/>
  </conditionalFormatting>
  <conditionalFormatting sqref="D2:D13">
    <cfRule type="containsText" dxfId="16" priority="14" operator="containsText" text="Amber"/>
    <cfRule type="containsText" dxfId="15" priority="15"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extLst>
        <ext xmlns:x14="http://schemas.microsoft.com/office/spreadsheetml/2009/9/main" uri="{B025F937-C7B1-47D3-B67F-A62EFF666E3E}">
          <x14:id>{C396F6AF-21C4-4FA7-97B0-3F36B31F276E}</x14:id>
        </ext>
      </extLst>
    </cfRule>
  </conditionalFormatting>
  <dataValidations count="3">
    <dataValidation type="list" sqref="C2:C12" xr:uid="{379B840A-EE6F-4230-AA9A-6C9B47854984}">
      <formula1>"Not Started,Pending,In Progress,Ongoing,At Risk,On Hold,Completed,Roadmap,Readiness,Evaluation"</formula1>
    </dataValidation>
    <dataValidation type="decimal" sqref="F2:F12" xr:uid="{E823B7CE-03D3-4348-84CA-F812E48F83D0}">
      <formula1>0</formula1>
      <formula2>1</formula2>
    </dataValidation>
    <dataValidation type="list" sqref="D2:D13" xr:uid="{B3788653-AA44-4F6E-8CDC-D7C44DB1F981}">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396F6AF-21C4-4FA7-97B0-3F36B31F276E}">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7"/>
  <sheetViews>
    <sheetView showGridLines="0" workbookViewId="0">
      <pane ySplit="1" topLeftCell="A5" activePane="bottomLeft" state="frozen"/>
      <selection pane="bottomLeft" activeCell="F1" sqref="F1"/>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43.5">
      <c r="A1" s="97" t="s">
        <v>0</v>
      </c>
      <c r="B1" s="97" t="s">
        <v>1</v>
      </c>
      <c r="C1" s="97" t="s">
        <v>2</v>
      </c>
      <c r="D1" s="97" t="s">
        <v>3</v>
      </c>
      <c r="E1" s="97" t="s">
        <v>4</v>
      </c>
      <c r="F1" s="133" t="s">
        <v>1275</v>
      </c>
      <c r="G1" s="97" t="s">
        <v>5</v>
      </c>
      <c r="H1" s="97" t="s">
        <v>6</v>
      </c>
      <c r="I1" s="97" t="s">
        <v>7</v>
      </c>
      <c r="J1" s="97" t="s">
        <v>8</v>
      </c>
      <c r="K1" s="97" t="s">
        <v>9</v>
      </c>
      <c r="L1" s="97" t="s">
        <v>10</v>
      </c>
      <c r="M1" s="97" t="s">
        <v>11</v>
      </c>
      <c r="N1" s="97" t="s">
        <v>12</v>
      </c>
    </row>
    <row r="2" spans="1:14" ht="78" customHeight="1">
      <c r="A2" s="15">
        <v>1</v>
      </c>
      <c r="B2" s="5" t="s">
        <v>202</v>
      </c>
      <c r="C2" s="59" t="s">
        <v>499</v>
      </c>
      <c r="D2" s="98" t="s">
        <v>21</v>
      </c>
      <c r="E2" s="16">
        <v>46240</v>
      </c>
      <c r="F2" s="16" t="s">
        <v>500</v>
      </c>
      <c r="G2" s="17">
        <v>1</v>
      </c>
      <c r="H2" s="5" t="s">
        <v>501</v>
      </c>
      <c r="I2" s="5" t="s">
        <v>502</v>
      </c>
      <c r="J2" s="5" t="s">
        <v>503</v>
      </c>
      <c r="K2" s="5" t="s">
        <v>504</v>
      </c>
      <c r="L2" s="5" t="s">
        <v>505</v>
      </c>
      <c r="M2" s="5" t="s">
        <v>506</v>
      </c>
      <c r="N2" s="5" t="s">
        <v>507</v>
      </c>
    </row>
    <row r="3" spans="1:14" ht="78" customHeight="1">
      <c r="A3" s="15">
        <v>2</v>
      </c>
      <c r="B3" s="5" t="s">
        <v>203</v>
      </c>
      <c r="C3" s="59" t="s">
        <v>508</v>
      </c>
      <c r="D3" s="64" t="s">
        <v>21</v>
      </c>
      <c r="E3" s="16">
        <v>46240</v>
      </c>
      <c r="F3" s="16" t="s">
        <v>14</v>
      </c>
      <c r="G3" s="17">
        <v>1</v>
      </c>
      <c r="H3" s="5" t="s">
        <v>204</v>
      </c>
      <c r="I3" s="5" t="s">
        <v>509</v>
      </c>
      <c r="J3" s="5" t="s">
        <v>510</v>
      </c>
      <c r="K3" s="5" t="s">
        <v>205</v>
      </c>
      <c r="L3" s="5" t="s">
        <v>511</v>
      </c>
      <c r="M3" s="5" t="s">
        <v>512</v>
      </c>
      <c r="N3" s="5" t="s">
        <v>513</v>
      </c>
    </row>
    <row r="4" spans="1:14" ht="78" customHeight="1">
      <c r="A4" s="15">
        <v>3</v>
      </c>
      <c r="B4" s="5" t="s">
        <v>206</v>
      </c>
      <c r="C4" s="59" t="s">
        <v>67</v>
      </c>
      <c r="D4" s="64" t="s">
        <v>21</v>
      </c>
      <c r="E4" s="16">
        <v>46240</v>
      </c>
      <c r="F4" s="16" t="s">
        <v>14</v>
      </c>
      <c r="G4" s="17">
        <v>1</v>
      </c>
      <c r="H4" s="5" t="s">
        <v>207</v>
      </c>
      <c r="I4" s="5" t="s">
        <v>208</v>
      </c>
      <c r="J4" s="5" t="s">
        <v>209</v>
      </c>
      <c r="K4" s="5" t="s">
        <v>210</v>
      </c>
      <c r="L4" s="5" t="s">
        <v>211</v>
      </c>
      <c r="M4" s="5" t="s">
        <v>212</v>
      </c>
      <c r="N4" s="5" t="s">
        <v>213</v>
      </c>
    </row>
    <row r="5" spans="1:14" ht="78" customHeight="1">
      <c r="A5" s="15">
        <v>4</v>
      </c>
      <c r="B5" s="5" t="s">
        <v>214</v>
      </c>
      <c r="C5" s="59" t="s">
        <v>67</v>
      </c>
      <c r="D5" s="64" t="s">
        <v>21</v>
      </c>
      <c r="E5" s="16">
        <v>46265</v>
      </c>
      <c r="F5" s="16" t="s">
        <v>514</v>
      </c>
      <c r="G5" s="17">
        <v>1</v>
      </c>
      <c r="H5" s="5" t="s">
        <v>515</v>
      </c>
      <c r="I5" s="5" t="s">
        <v>516</v>
      </c>
      <c r="J5" s="5" t="s">
        <v>517</v>
      </c>
      <c r="K5" s="5" t="s">
        <v>518</v>
      </c>
      <c r="L5" s="5" t="s">
        <v>519</v>
      </c>
      <c r="M5" s="5" t="s">
        <v>520</v>
      </c>
      <c r="N5" s="5" t="s">
        <v>521</v>
      </c>
    </row>
    <row r="6" spans="1:14" ht="96" customHeight="1">
      <c r="A6" s="11">
        <v>5</v>
      </c>
      <c r="B6" s="12" t="s">
        <v>215</v>
      </c>
      <c r="C6" s="60" t="s">
        <v>522</v>
      </c>
      <c r="D6" s="61" t="s">
        <v>13</v>
      </c>
      <c r="E6" s="13">
        <v>46266</v>
      </c>
      <c r="F6" s="13" t="s">
        <v>523</v>
      </c>
      <c r="G6" s="14">
        <v>0.9</v>
      </c>
      <c r="H6" s="12" t="s">
        <v>524</v>
      </c>
      <c r="I6" s="12" t="s">
        <v>525</v>
      </c>
      <c r="J6" s="12" t="s">
        <v>526</v>
      </c>
      <c r="K6" s="12" t="s">
        <v>527</v>
      </c>
      <c r="L6" s="12" t="s">
        <v>528</v>
      </c>
      <c r="M6" s="12" t="s">
        <v>529</v>
      </c>
      <c r="N6" s="12" t="s">
        <v>530</v>
      </c>
    </row>
    <row r="7" spans="1:14" ht="78" customHeight="1">
      <c r="A7" s="15">
        <v>6</v>
      </c>
      <c r="B7" s="5" t="s">
        <v>216</v>
      </c>
      <c r="C7" s="59" t="s">
        <v>67</v>
      </c>
      <c r="D7" s="64" t="s">
        <v>21</v>
      </c>
      <c r="E7" s="16">
        <v>46240</v>
      </c>
      <c r="F7" s="16" t="s">
        <v>14</v>
      </c>
      <c r="G7" s="17">
        <v>1</v>
      </c>
      <c r="H7" s="5" t="s">
        <v>217</v>
      </c>
      <c r="I7" s="5" t="s">
        <v>218</v>
      </c>
      <c r="J7" s="5" t="s">
        <v>219</v>
      </c>
      <c r="K7" s="5" t="s">
        <v>220</v>
      </c>
      <c r="L7" s="5" t="s">
        <v>221</v>
      </c>
      <c r="M7" s="5" t="s">
        <v>222</v>
      </c>
      <c r="N7" s="5" t="s">
        <v>223</v>
      </c>
    </row>
    <row r="8" spans="1:14" ht="78" customHeight="1">
      <c r="A8" s="15">
        <v>7</v>
      </c>
      <c r="B8" s="5" t="s">
        <v>224</v>
      </c>
      <c r="C8" s="59" t="s">
        <v>67</v>
      </c>
      <c r="D8" s="64" t="s">
        <v>21</v>
      </c>
      <c r="E8" s="16">
        <v>46240</v>
      </c>
      <c r="F8" s="16" t="s">
        <v>14</v>
      </c>
      <c r="G8" s="17">
        <v>1</v>
      </c>
      <c r="H8" s="5" t="s">
        <v>225</v>
      </c>
      <c r="I8" s="5" t="s">
        <v>226</v>
      </c>
      <c r="J8" s="5" t="s">
        <v>227</v>
      </c>
      <c r="K8" s="5" t="s">
        <v>228</v>
      </c>
      <c r="L8" s="5" t="s">
        <v>229</v>
      </c>
      <c r="M8" s="5" t="s">
        <v>230</v>
      </c>
      <c r="N8" s="5" t="s">
        <v>231</v>
      </c>
    </row>
    <row r="9" spans="1:14" ht="78" customHeight="1">
      <c r="A9" s="15">
        <v>8</v>
      </c>
      <c r="B9" s="5" t="s">
        <v>232</v>
      </c>
      <c r="C9" s="59" t="s">
        <v>67</v>
      </c>
      <c r="D9" s="64" t="s">
        <v>21</v>
      </c>
      <c r="E9" s="16">
        <v>46265</v>
      </c>
      <c r="F9" s="16" t="s">
        <v>14</v>
      </c>
      <c r="G9" s="17">
        <v>1</v>
      </c>
      <c r="H9" s="5" t="s">
        <v>233</v>
      </c>
      <c r="I9" s="5" t="s">
        <v>234</v>
      </c>
      <c r="J9" s="5" t="s">
        <v>235</v>
      </c>
      <c r="K9" s="5" t="s">
        <v>236</v>
      </c>
      <c r="L9" s="5" t="s">
        <v>237</v>
      </c>
      <c r="M9" s="5" t="s">
        <v>238</v>
      </c>
      <c r="N9" s="5" t="s">
        <v>239</v>
      </c>
    </row>
    <row r="10" spans="1:14" ht="78" customHeight="1">
      <c r="A10" s="15">
        <v>9</v>
      </c>
      <c r="B10" s="5" t="s">
        <v>240</v>
      </c>
      <c r="C10" s="59" t="s">
        <v>241</v>
      </c>
      <c r="D10" s="64" t="s">
        <v>21</v>
      </c>
      <c r="E10" s="16">
        <v>46240</v>
      </c>
      <c r="F10" s="16">
        <v>46265</v>
      </c>
      <c r="G10" s="17">
        <v>1</v>
      </c>
      <c r="H10" s="5" t="s">
        <v>242</v>
      </c>
      <c r="I10" s="5" t="s">
        <v>243</v>
      </c>
      <c r="J10" s="5" t="s">
        <v>244</v>
      </c>
      <c r="K10" s="5" t="s">
        <v>245</v>
      </c>
      <c r="L10" s="5" t="s">
        <v>246</v>
      </c>
      <c r="M10" s="5" t="s">
        <v>247</v>
      </c>
      <c r="N10" s="5" t="s">
        <v>248</v>
      </c>
    </row>
    <row r="11" spans="1:14" ht="78" customHeight="1">
      <c r="A11" s="15">
        <v>10</v>
      </c>
      <c r="B11" s="5" t="s">
        <v>249</v>
      </c>
      <c r="C11" s="64" t="s">
        <v>531</v>
      </c>
      <c r="D11" s="64" t="s">
        <v>21</v>
      </c>
      <c r="E11" s="16" t="s">
        <v>266</v>
      </c>
      <c r="F11" s="16" t="s">
        <v>267</v>
      </c>
      <c r="G11" s="17">
        <v>0.9</v>
      </c>
      <c r="H11" s="5" t="s">
        <v>268</v>
      </c>
      <c r="I11" s="5" t="s">
        <v>532</v>
      </c>
      <c r="J11" s="5" t="s">
        <v>533</v>
      </c>
      <c r="K11" s="5" t="s">
        <v>534</v>
      </c>
      <c r="L11" s="5" t="s">
        <v>535</v>
      </c>
      <c r="M11" s="5" t="s">
        <v>536</v>
      </c>
      <c r="N11" s="5" t="s">
        <v>537</v>
      </c>
    </row>
    <row r="12" spans="1:14" ht="78" customHeight="1">
      <c r="A12" s="15">
        <v>11</v>
      </c>
      <c r="B12" s="5" t="s">
        <v>250</v>
      </c>
      <c r="C12" s="64" t="s">
        <v>269</v>
      </c>
      <c r="D12" s="64" t="s">
        <v>21</v>
      </c>
      <c r="E12" s="16" t="s">
        <v>266</v>
      </c>
      <c r="F12" s="16" t="s">
        <v>270</v>
      </c>
      <c r="G12" s="17">
        <v>0.9</v>
      </c>
      <c r="H12" s="5" t="s">
        <v>271</v>
      </c>
      <c r="I12" s="5" t="s">
        <v>272</v>
      </c>
      <c r="J12" s="5" t="s">
        <v>273</v>
      </c>
      <c r="K12" s="5" t="s">
        <v>274</v>
      </c>
      <c r="L12" s="5" t="s">
        <v>275</v>
      </c>
      <c r="M12" s="5" t="s">
        <v>276</v>
      </c>
      <c r="N12" s="5" t="s">
        <v>277</v>
      </c>
    </row>
    <row r="13" spans="1:14" ht="78" customHeight="1">
      <c r="A13" s="15">
        <v>12</v>
      </c>
      <c r="B13" s="5" t="s">
        <v>251</v>
      </c>
      <c r="C13" s="60" t="s">
        <v>252</v>
      </c>
      <c r="D13" s="99" t="s">
        <v>13</v>
      </c>
      <c r="E13" s="16">
        <v>46240</v>
      </c>
      <c r="F13" s="16" t="s">
        <v>14</v>
      </c>
      <c r="G13" s="17">
        <v>0.85</v>
      </c>
      <c r="H13" s="5" t="s">
        <v>253</v>
      </c>
      <c r="I13" s="5" t="s">
        <v>254</v>
      </c>
      <c r="J13" s="5" t="s">
        <v>255</v>
      </c>
      <c r="K13" s="5" t="s">
        <v>256</v>
      </c>
      <c r="L13" s="5" t="s">
        <v>257</v>
      </c>
      <c r="M13" s="5" t="s">
        <v>258</v>
      </c>
      <c r="N13" s="5" t="s">
        <v>259</v>
      </c>
    </row>
    <row r="14" spans="1:14" ht="96" customHeight="1">
      <c r="A14" s="11">
        <v>13</v>
      </c>
      <c r="B14" s="12" t="s">
        <v>278</v>
      </c>
      <c r="C14" s="64" t="s">
        <v>538</v>
      </c>
      <c r="D14" s="64" t="s">
        <v>21</v>
      </c>
      <c r="E14" s="13" t="s">
        <v>68</v>
      </c>
      <c r="F14" s="13" t="s">
        <v>539</v>
      </c>
      <c r="G14" s="14">
        <v>0.9</v>
      </c>
      <c r="H14" s="12" t="s">
        <v>279</v>
      </c>
      <c r="I14" s="12" t="s">
        <v>540</v>
      </c>
      <c r="J14" s="12" t="s">
        <v>541</v>
      </c>
      <c r="K14" s="12" t="s">
        <v>542</v>
      </c>
      <c r="L14" s="12" t="s">
        <v>543</v>
      </c>
      <c r="M14" s="12" t="s">
        <v>544</v>
      </c>
      <c r="N14" s="12" t="s">
        <v>545</v>
      </c>
    </row>
    <row r="15" spans="1:14" ht="100">
      <c r="A15" s="11">
        <v>14</v>
      </c>
      <c r="B15" s="12" t="s">
        <v>546</v>
      </c>
      <c r="C15" s="64" t="s">
        <v>547</v>
      </c>
      <c r="D15" s="64" t="s">
        <v>21</v>
      </c>
      <c r="E15" s="13">
        <v>46293</v>
      </c>
      <c r="F15" s="13" t="s">
        <v>548</v>
      </c>
      <c r="G15" s="14">
        <v>0.9</v>
      </c>
      <c r="H15" s="12" t="s">
        <v>549</v>
      </c>
      <c r="I15" s="12" t="s">
        <v>550</v>
      </c>
      <c r="J15" s="12" t="s">
        <v>551</v>
      </c>
      <c r="K15" s="12" t="s">
        <v>552</v>
      </c>
      <c r="L15" s="12" t="s">
        <v>553</v>
      </c>
      <c r="M15" s="12" t="s">
        <v>554</v>
      </c>
      <c r="N15" s="12" t="s">
        <v>555</v>
      </c>
    </row>
    <row r="16" spans="1:14" ht="125">
      <c r="A16" s="11">
        <v>15</v>
      </c>
      <c r="B16" s="12" t="s">
        <v>556</v>
      </c>
      <c r="C16" s="18" t="s">
        <v>557</v>
      </c>
      <c r="D16" s="65" t="s">
        <v>13</v>
      </c>
      <c r="E16" s="13">
        <v>46310</v>
      </c>
      <c r="F16" s="13" t="s">
        <v>558</v>
      </c>
      <c r="G16" s="14">
        <v>0.45</v>
      </c>
      <c r="H16" s="12" t="s">
        <v>559</v>
      </c>
      <c r="I16" s="12" t="s">
        <v>560</v>
      </c>
      <c r="J16" s="12" t="s">
        <v>561</v>
      </c>
      <c r="K16" s="12" t="s">
        <v>562</v>
      </c>
      <c r="L16" s="12" t="s">
        <v>563</v>
      </c>
      <c r="M16" s="12" t="s">
        <v>564</v>
      </c>
      <c r="N16" s="12" t="s">
        <v>530</v>
      </c>
    </row>
    <row r="17" spans="1:14" ht="112.5">
      <c r="A17" s="11">
        <v>16</v>
      </c>
      <c r="B17" s="12" t="s">
        <v>565</v>
      </c>
      <c r="C17" s="64" t="s">
        <v>67</v>
      </c>
      <c r="D17" s="64" t="s">
        <v>21</v>
      </c>
      <c r="E17" s="13">
        <v>46308</v>
      </c>
      <c r="F17" s="13" t="s">
        <v>291</v>
      </c>
      <c r="G17" s="14">
        <v>1</v>
      </c>
      <c r="H17" s="12" t="s">
        <v>566</v>
      </c>
      <c r="I17" s="12" t="s">
        <v>567</v>
      </c>
      <c r="J17" s="12" t="s">
        <v>568</v>
      </c>
      <c r="K17" s="12" t="s">
        <v>569</v>
      </c>
      <c r="L17" s="12" t="s">
        <v>570</v>
      </c>
      <c r="M17" s="12" t="s">
        <v>571</v>
      </c>
      <c r="N17" s="12" t="s">
        <v>507</v>
      </c>
    </row>
  </sheetData>
  <conditionalFormatting sqref="C11:C12">
    <cfRule type="containsText" dxfId="14" priority="7" operator="containsText" text="Red"/>
    <cfRule type="containsText" dxfId="13" priority="8" operator="containsText" text="Amber"/>
    <cfRule type="containsText" dxfId="12" priority="9" operator="containsText" text="Green"/>
  </conditionalFormatting>
  <conditionalFormatting sqref="C14:D15">
    <cfRule type="containsText" dxfId="11" priority="4" operator="containsText" text="Red"/>
    <cfRule type="containsText" dxfId="10" priority="5" operator="containsText" text="Amber"/>
    <cfRule type="containsText" dxfId="9" priority="6" operator="containsText" text="Green"/>
  </conditionalFormatting>
  <conditionalFormatting sqref="C17:D17">
    <cfRule type="containsText" dxfId="8" priority="1" operator="containsText" text="Red"/>
    <cfRule type="containsText" dxfId="7" priority="2" operator="containsText" text="Amber"/>
    <cfRule type="containsText" dxfId="6" priority="3" operator="containsText" text="Green"/>
  </conditionalFormatting>
  <conditionalFormatting sqref="D2:D12">
    <cfRule type="containsText" dxfId="5" priority="12" operator="containsText" text="Red"/>
    <cfRule type="containsText" dxfId="4" priority="13" operator="containsText" text="Amber"/>
    <cfRule type="containsText" dxfId="3" priority="14" operator="containsText" text="Green"/>
  </conditionalFormatting>
  <conditionalFormatting sqref="F2:F13">
    <cfRule type="dataBar" priority="10">
      <dataBar>
        <cfvo type="min"/>
        <cfvo type="max"/>
        <color rgb="FF5B9BD5"/>
      </dataBar>
    </cfRule>
    <cfRule type="dataBar" priority="11">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{CC73D050-47EE-4D35-AB70-86594038F48C}</x14:id>
        </ext>
      </extLst>
    </cfRule>
  </conditionalFormatting>
  <dataValidations count="1">
    <dataValidation type="list" sqref="D2:D12 D14:D15 D17" xr:uid="{17789BC5-EE23-41ED-A626-51AE4B7897DB}">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C73D050-47EE-4D35-AB70-86594038F48C}">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0"/>
  <sheetViews>
    <sheetView tabSelected="1" workbookViewId="0">
      <selection activeCell="F1" sqref="F1"/>
    </sheetView>
  </sheetViews>
  <sheetFormatPr defaultRowHeight="14"/>
  <cols>
    <col min="1" max="1" width="1.90625" customWidth="1"/>
    <col min="2" max="2" width="12.1796875" customWidth="1"/>
    <col min="3" max="3" width="18.6328125" customWidth="1"/>
    <col min="4" max="4" width="6.7265625" customWidth="1"/>
    <col min="5" max="5" width="10.81640625" customWidth="1"/>
    <col min="6" max="6" width="11.269531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58.5" thickBot="1">
      <c r="A1" s="123" t="s">
        <v>0</v>
      </c>
      <c r="B1" s="124" t="s">
        <v>1</v>
      </c>
      <c r="C1" s="124" t="s">
        <v>2</v>
      </c>
      <c r="D1" s="124" t="s">
        <v>3</v>
      </c>
      <c r="E1" s="124" t="s">
        <v>4</v>
      </c>
      <c r="F1" s="133" t="s">
        <v>1275</v>
      </c>
      <c r="G1" s="124" t="s">
        <v>5</v>
      </c>
      <c r="H1" s="124" t="s">
        <v>6</v>
      </c>
      <c r="I1" s="124" t="s">
        <v>7</v>
      </c>
      <c r="J1" s="124" t="s">
        <v>8</v>
      </c>
      <c r="K1" s="124" t="s">
        <v>9</v>
      </c>
      <c r="L1" s="124" t="s">
        <v>10</v>
      </c>
      <c r="M1" s="124" t="s">
        <v>11</v>
      </c>
      <c r="N1" s="5" t="s">
        <v>12</v>
      </c>
    </row>
    <row r="2" spans="1:14" ht="224">
      <c r="A2" s="2">
        <v>1</v>
      </c>
      <c r="B2" s="5" t="s">
        <v>1184</v>
      </c>
      <c r="C2" s="125" t="s">
        <v>1185</v>
      </c>
      <c r="D2" s="126" t="s">
        <v>13</v>
      </c>
      <c r="E2" s="127" t="s">
        <v>1186</v>
      </c>
      <c r="F2" s="128" t="s">
        <v>1187</v>
      </c>
      <c r="G2" s="17">
        <v>0.65</v>
      </c>
      <c r="H2" s="5" t="s">
        <v>1188</v>
      </c>
      <c r="I2" s="5" t="s">
        <v>1189</v>
      </c>
      <c r="J2" s="5" t="s">
        <v>1190</v>
      </c>
      <c r="K2" s="5" t="s">
        <v>1191</v>
      </c>
      <c r="L2" s="5" t="s">
        <v>1192</v>
      </c>
      <c r="M2" s="5" t="s">
        <v>1193</v>
      </c>
      <c r="N2" s="5" t="s">
        <v>1194</v>
      </c>
    </row>
    <row r="3" spans="1:14" ht="224">
      <c r="A3" s="2">
        <v>2</v>
      </c>
      <c r="B3" s="5" t="s">
        <v>1195</v>
      </c>
      <c r="C3" s="129" t="s">
        <v>1196</v>
      </c>
      <c r="D3" s="126" t="s">
        <v>13</v>
      </c>
      <c r="E3" s="127" t="s">
        <v>427</v>
      </c>
      <c r="F3" s="128" t="s">
        <v>1197</v>
      </c>
      <c r="G3" s="17">
        <v>0.65</v>
      </c>
      <c r="H3" s="5" t="s">
        <v>1198</v>
      </c>
      <c r="I3" s="5" t="s">
        <v>1199</v>
      </c>
      <c r="J3" s="5" t="s">
        <v>1200</v>
      </c>
      <c r="K3" s="5" t="s">
        <v>1201</v>
      </c>
      <c r="L3" s="5" t="s">
        <v>1202</v>
      </c>
      <c r="M3" s="5" t="s">
        <v>1203</v>
      </c>
      <c r="N3" s="5" t="s">
        <v>1204</v>
      </c>
    </row>
    <row r="4" spans="1:14" ht="182">
      <c r="A4" s="2">
        <v>3</v>
      </c>
      <c r="B4" s="5" t="s">
        <v>1205</v>
      </c>
      <c r="C4" s="129" t="s">
        <v>1206</v>
      </c>
      <c r="D4" s="130" t="s">
        <v>13</v>
      </c>
      <c r="E4" s="127">
        <v>46303</v>
      </c>
      <c r="F4" s="128" t="s">
        <v>1207</v>
      </c>
      <c r="G4" s="17">
        <v>0.7</v>
      </c>
      <c r="H4" s="5" t="s">
        <v>1208</v>
      </c>
      <c r="I4" s="5" t="s">
        <v>1209</v>
      </c>
      <c r="J4" s="5" t="s">
        <v>1210</v>
      </c>
      <c r="K4" s="5" t="s">
        <v>1211</v>
      </c>
      <c r="L4" s="5" t="s">
        <v>1212</v>
      </c>
      <c r="M4" s="5" t="s">
        <v>1213</v>
      </c>
      <c r="N4" s="5" t="s">
        <v>1214</v>
      </c>
    </row>
    <row r="5" spans="1:14" ht="168">
      <c r="A5" s="2">
        <v>4</v>
      </c>
      <c r="B5" s="5" t="s">
        <v>1215</v>
      </c>
      <c r="C5" s="129" t="s">
        <v>1216</v>
      </c>
      <c r="D5" s="130" t="s">
        <v>13</v>
      </c>
      <c r="E5" s="127">
        <v>46303</v>
      </c>
      <c r="F5" s="128" t="s">
        <v>1217</v>
      </c>
      <c r="G5" s="17">
        <v>0.3</v>
      </c>
      <c r="H5" s="5" t="s">
        <v>1218</v>
      </c>
      <c r="I5" s="5" t="s">
        <v>1219</v>
      </c>
      <c r="J5" s="5" t="s">
        <v>1220</v>
      </c>
      <c r="K5" s="5" t="s">
        <v>1221</v>
      </c>
      <c r="L5" s="5" t="s">
        <v>1222</v>
      </c>
      <c r="M5" s="5" t="s">
        <v>1223</v>
      </c>
      <c r="N5" s="5" t="s">
        <v>1224</v>
      </c>
    </row>
    <row r="6" spans="1:14" ht="154">
      <c r="A6" s="2">
        <v>5</v>
      </c>
      <c r="B6" s="5" t="s">
        <v>1225</v>
      </c>
      <c r="C6" s="129" t="s">
        <v>1226</v>
      </c>
      <c r="D6" s="130" t="s">
        <v>13</v>
      </c>
      <c r="E6" s="127">
        <v>46303</v>
      </c>
      <c r="F6" s="128" t="s">
        <v>1227</v>
      </c>
      <c r="G6" s="17">
        <v>0.35</v>
      </c>
      <c r="H6" s="5" t="s">
        <v>1228</v>
      </c>
      <c r="I6" s="5" t="s">
        <v>1229</v>
      </c>
      <c r="J6" s="5" t="s">
        <v>1230</v>
      </c>
      <c r="K6" s="5" t="s">
        <v>1231</v>
      </c>
      <c r="L6" s="5" t="s">
        <v>1232</v>
      </c>
      <c r="M6" s="5" t="s">
        <v>1233</v>
      </c>
      <c r="N6" s="5" t="s">
        <v>1234</v>
      </c>
    </row>
    <row r="7" spans="1:14" ht="154">
      <c r="A7" s="2">
        <v>6</v>
      </c>
      <c r="B7" s="5" t="s">
        <v>1235</v>
      </c>
      <c r="C7" s="129" t="s">
        <v>1236</v>
      </c>
      <c r="D7" s="130" t="s">
        <v>13</v>
      </c>
      <c r="E7" s="127">
        <v>46303</v>
      </c>
      <c r="F7" s="128" t="s">
        <v>1237</v>
      </c>
      <c r="G7" s="17">
        <v>0.55000000000000004</v>
      </c>
      <c r="H7" s="5" t="s">
        <v>1238</v>
      </c>
      <c r="I7" s="5" t="s">
        <v>1239</v>
      </c>
      <c r="J7" s="5" t="s">
        <v>1240</v>
      </c>
      <c r="K7" s="5" t="s">
        <v>1241</v>
      </c>
      <c r="L7" s="5" t="s">
        <v>1242</v>
      </c>
      <c r="M7" s="5" t="s">
        <v>1243</v>
      </c>
      <c r="N7" s="5" t="s">
        <v>1244</v>
      </c>
    </row>
    <row r="8" spans="1:14" ht="182">
      <c r="A8" s="2">
        <v>7</v>
      </c>
      <c r="B8" s="5" t="s">
        <v>1245</v>
      </c>
      <c r="C8" s="129" t="s">
        <v>1246</v>
      </c>
      <c r="D8" s="130" t="s">
        <v>13</v>
      </c>
      <c r="E8" s="127">
        <v>46303</v>
      </c>
      <c r="F8" s="128" t="s">
        <v>1247</v>
      </c>
      <c r="G8" s="17">
        <v>0.45</v>
      </c>
      <c r="H8" s="5" t="s">
        <v>1248</v>
      </c>
      <c r="I8" s="5" t="s">
        <v>1249</v>
      </c>
      <c r="J8" s="5" t="s">
        <v>1250</v>
      </c>
      <c r="K8" s="5" t="s">
        <v>1251</v>
      </c>
      <c r="L8" s="5" t="s">
        <v>1252</v>
      </c>
      <c r="M8" s="5" t="s">
        <v>1253</v>
      </c>
      <c r="N8" s="5" t="s">
        <v>1254</v>
      </c>
    </row>
    <row r="9" spans="1:14" ht="182">
      <c r="A9" s="2">
        <v>8</v>
      </c>
      <c r="B9" s="5" t="s">
        <v>1255</v>
      </c>
      <c r="C9" s="129" t="s">
        <v>1256</v>
      </c>
      <c r="D9" s="130" t="s">
        <v>13</v>
      </c>
      <c r="E9" s="127">
        <v>46303</v>
      </c>
      <c r="F9" s="128" t="s">
        <v>1257</v>
      </c>
      <c r="G9" s="17">
        <v>0.3</v>
      </c>
      <c r="H9" s="5" t="s">
        <v>1258</v>
      </c>
      <c r="I9" s="5" t="s">
        <v>1259</v>
      </c>
      <c r="J9" s="5" t="s">
        <v>1260</v>
      </c>
      <c r="K9" s="5" t="s">
        <v>1261</v>
      </c>
      <c r="L9" s="5" t="s">
        <v>1262</v>
      </c>
      <c r="M9" s="5" t="s">
        <v>1263</v>
      </c>
      <c r="N9" s="5" t="s">
        <v>1264</v>
      </c>
    </row>
    <row r="10" spans="1:14" ht="224">
      <c r="A10" s="2">
        <v>9</v>
      </c>
      <c r="B10" s="5" t="s">
        <v>1265</v>
      </c>
      <c r="C10" s="125" t="s">
        <v>1266</v>
      </c>
      <c r="D10" s="61" t="s">
        <v>13</v>
      </c>
      <c r="E10" s="127">
        <v>46304</v>
      </c>
      <c r="F10" s="128" t="s">
        <v>1267</v>
      </c>
      <c r="G10" s="17">
        <v>0.7</v>
      </c>
      <c r="H10" s="5" t="s">
        <v>1268</v>
      </c>
      <c r="I10" s="5" t="s">
        <v>1269</v>
      </c>
      <c r="J10" s="5" t="s">
        <v>1270</v>
      </c>
      <c r="K10" s="5" t="s">
        <v>1271</v>
      </c>
      <c r="L10" s="5" t="s">
        <v>1272</v>
      </c>
      <c r="M10" s="5" t="s">
        <v>1273</v>
      </c>
      <c r="N10" s="5" t="s">
        <v>1274</v>
      </c>
    </row>
  </sheetData>
  <conditionalFormatting sqref="C2:D2">
    <cfRule type="containsText" dxfId="2" priority="1" operator="containsText" text="Red"/>
    <cfRule type="containsText" dxfId="1" priority="2" operator="containsText" text="Amber"/>
    <cfRule type="containsText" dxfId="0" priority="3" operator="containsText" text="Green"/>
  </conditionalFormatting>
  <dataValidations count="1">
    <dataValidation type="list" sqref="D2" xr:uid="{10BEB5D9-C4DC-4EDC-994E-ECB6A57E3317}">
      <formula1>"Red,Amber,Green"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IT Security</vt:lpstr>
      <vt:lpstr>Infrastructure &amp; Cloud</vt:lpstr>
      <vt:lpstr>IoT</vt:lpstr>
      <vt:lpstr>R&amp;D AI</vt:lpstr>
      <vt:lpstr>WCS Engineering</vt:lpstr>
      <vt:lpstr>IT 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2026-10-26T21:54:23Z</dcterms:modified>
</cp:coreProperties>
</file>