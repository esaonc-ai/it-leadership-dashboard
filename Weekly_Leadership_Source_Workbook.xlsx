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5C38A7DD-E823-471A-9C55-061FC29BAF38}" xr6:coauthVersionLast="47" xr6:coauthVersionMax="47" xr10:uidLastSave="{00000000-0000-0000-0000-000000000000}"/>
  <bookViews>
    <workbookView xWindow="-110" yWindow="-110" windowWidth="19420" windowHeight="11500" activeTab="1" xr2:uid="{00000000-000D-0000-FFFF-FFFF00000000}"/>
  </bookViews>
  <sheets>
    <sheet name="IT Security" sheetId="2" r:id="rId1"/>
    <sheet name="Infrastructure &amp; Cloud" sheetId="3" r:id="rId2"/>
    <sheet name="IoT" sheetId="4" r:id="rId3"/>
    <sheet name="R&amp;D AI" sheetId="5" r:id="rId4"/>
    <sheet name="WCS Engineering" sheetId="6" r:id="rId5"/>
    <sheet name="IT 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<sst xmlns="http://schemas.openxmlformats.org/spreadsheetml/2006/main" count="1162" uniqueCount="684">
  <si>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</si>
  <si>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</si>
  <si>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</si>
  <si>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</si>
  <si>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</si>
  <si>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</si>
  <si>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</si>
  <si>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</si>
  <si>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</si>
  <si>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</si>
  <si>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</si>
  <si>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</si>
  <si>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</si>
  <si>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</si>
  <si>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</si>
  <si>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</si>
  <si>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</si>
  <si>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</si>
  <si>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</si>
  <si>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</si>
  <si>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</si>
  <si>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</si>
  <si>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</si>
  <si>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</si>
  <si>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</si>
  <si>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</si>
  <si>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</si>
  <si>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</si>
  <si>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</si>
  <si>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</si>
  <si>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</si>
  <si>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</si>
  <si>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</si>
  <si>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</si>
  <si>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</si>
  <si>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</si>
  <si>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</si>
  <si>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</si>
  <si>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</si>
  <si>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</si>
  <si>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</si>
  <si>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</si>
  <si>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</si>
  <si>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</si>
  <si>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</si>
  <si>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</si>
  <si>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</si>
  <si>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</si>
  <si>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</si>
  <si>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</si>
  <si>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</si>
  <si>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</si>
  <si>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</si>
  <si>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</si>
  <si>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</si>
  <si>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</si>
  <si>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</si>
  <si>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</si>
  <si>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</si>
  <si>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</si>
  <si>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</si>
  <si>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</si>
  <si>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</si>
  <si>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</si>
  <si>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</si>
  <si>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</si>
  <si>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</si>
  <si>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Completed</t>
  </si>
  <si>
    <t>2026-09-23</t>
  </si>
  <si>
    <t>2026-09-21</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</si>
  <si>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</si>
  <si>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</si>
  <si>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</si>
  <si>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</si>
  <si>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</si>
  <si>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</si>
  <si>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</si>
  <si>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</si>
  <si>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</si>
  <si>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</si>
  <si>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</si>
  <si>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</si>
  <si>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</si>
  <si>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</si>
  <si>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</si>
  <si>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</si>
  <si>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</si>
  <si>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</si>
  <si>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</si>
  <si>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</si>
  <si>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</si>
  <si>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</si>
  <si>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</si>
  <si>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</si>
  <si>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</si>
  <si>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</si>
  <si>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</si>
  <si>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</si>
  <si>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</si>
  <si>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</si>
  <si>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</si>
  <si>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</si>
  <si>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</si>
  <si>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</si>
  <si>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</si>
  <si>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</si>
  <si>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</si>
  <si>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</si>
  <si>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</si>
  <si>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</si>
  <si>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</si>
  <si>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</si>
  <si>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</si>
  <si>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</si>
  <si>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</si>
  <si>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</si>
  <si>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</si>
  <si>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</si>
  <si>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</si>
  <si>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</si>
  <si>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</si>
  <si>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</si>
  <si>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</si>
  <si>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</si>
  <si>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</si>
  <si>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</si>
  <si>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</si>
  <si>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</si>
  <si>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</si>
  <si>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</si>
  <si>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</si>
  <si>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</si>
  <si>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</si>
  <si>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</si>
  <si>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</si>
  <si>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</si>
  <si>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</si>
  <si>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</si>
  <si>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</si>
  <si>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</si>
  <si>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</si>
  <si>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</si>
  <si>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</si>
  <si>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</si>
  <si>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</si>
  <si>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</si>
  <si>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</si>
  <si>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</si>
  <si>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</si>
  <si>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</si>
  <si>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</si>
  <si>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</si>
  <si>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</si>
  <si>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</si>
  <si>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</si>
  <si>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</si>
  <si>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</si>
  <si>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</si>
  <si>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</si>
  <si>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</si>
  <si>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</si>
  <si>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</si>
  <si>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</si>
  <si>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</si>
  <si>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</si>
  <si>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</si>
  <si>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</si>
  <si>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</si>
  <si>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</si>
  <si>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</si>
  <si>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</si>
  <si>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</si>
  <si>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</si>
  <si>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</si>
  <si>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</si>
  <si>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</si>
  <si>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</si>
  <si>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</si>
  <si>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</si>
  <si>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</si>
  <si>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</si>
  <si>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</si>
  <si>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</si>
  <si>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</si>
  <si>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</si>
  <si>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</si>
  <si>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</si>
  <si>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</si>
  <si>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</si>
  <si>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</si>
  <si>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</si>
  <si>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</si>
  <si>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</si>
  <si>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</si>
  <si>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</si>
  <si>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</si>
  <si>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</si>
  <si>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</si>
  <si>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</si>
  <si>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</si>
  <si>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</si>
  <si>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Escalate for a firm delivery date and confirm whether fieldwork can proceed in parallel.</t>
  </si>
  <si>
    <t>Vanta Legal-Entity and Subscription Transition</t>
  </si>
  <si>
    <t>UNIS.CO Internal-Only Email Restriction</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</si>
  <si>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</si>
  <si>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</si>
  <si>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</si>
  <si>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</si>
  <si>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</si>
  <si>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</si>
  <si>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</si>
  <si>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</si>
  <si>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</si>
  <si>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</si>
  <si>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</si>
  <si>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</si>
  <si>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</si>
  <si>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</si>
  <si>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</si>
  <si>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</si>
  <si>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</si>
  <si>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</si>
  <si>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</si>
  <si>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</si>
  <si>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</si>
  <si>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</si>
  <si>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</si>
  <si>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</si>
  <si>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</si>
  <si>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</si>
  <si>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</si>
  <si>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</si>
  <si>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</si>
  <si>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</si>
  <si>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</si>
  <si>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</si>
  <si>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</si>
  <si>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</si>
  <si>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</si>
  <si>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</si>
  <si>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</si>
  <si>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</si>
  <si>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</si>
  <si>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</si>
  <si>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</si>
  <si>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</si>
  <si>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</si>
  <si>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</si>
  <si>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</si>
  <si>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</si>
  <si>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</si>
  <si>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</si>
  <si>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</si>
  <si>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</si>
  <si>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</si>
  <si>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</si>
  <si>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</si>
  <si>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</si>
  <si>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</si>
  <si>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</si>
  <si>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</si>
  <si>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Red</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</si>
  <si>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</si>
  <si>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</si>
  <si>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</si>
  <si>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</si>
  <si>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</si>
  <si>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2026-08-31</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</si>
  <si>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</si>
  <si>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</si>
  <si>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</si>
  <si>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</si>
  <si>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</si>
  <si>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</si>
  <si>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</si>
  <si>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</si>
  <si>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</si>
  <si>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</si>
  <si>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</si>
  <si>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</si>
  <si>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</si>
  <si>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</si>
  <si>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</si>
  <si>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</si>
  <si>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</si>
  <si>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</si>
  <si>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</si>
  <si>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</si>
  <si>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</si>
  <si>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</si>
  <si>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BP Air Compressor and Dryer Assessment</t>
  </si>
  <si>
    <t>2026-09-25</t>
  </si>
  <si>
    <t>N/A</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</si>
  <si>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</si>
  <si>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</si>
  <si>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</si>
  <si>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</si>
  <si>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</si>
  <si>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</si>
  <si>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</si>
  <si>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</si>
  <si>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</si>
  <si>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</si>
  <si>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</si>
  <si>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</si>
  <si>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</si>
  <si>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</si>
  <si>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</si>
  <si>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</si>
  <si>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</si>
  <si>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</si>
  <si>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</si>
  <si>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</si>
  <si>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</si>
  <si>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</si>
  <si>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</si>
  <si>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</si>
  <si>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</si>
  <si>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</si>
  <si>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</si>
  <si>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</si>
  <si>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</si>
  <si>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</si>
  <si>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</si>
  <si>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</si>
  <si>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</si>
  <si>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</si>
  <si>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</si>
  <si>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</si>
  <si>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</si>
  <si>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</si>
  <si>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</si>
  <si>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</si>
  <si>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</si>
  <si>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</si>
  <si>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</si>
  <si>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</si>
  <si>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</si>
  <si>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</si>
  <si>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</si>
  <si>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</si>
  <si>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</si>
  <si>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</si>
  <si>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</si>
  <si>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</si>
  <si>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</si>
  <si>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</si>
  <si>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Completion Date</t>
  </si>
  <si>
    <t>SOC 2 Type I Renewal for UNIS LLC</t>
  </si>
  <si>
    <t>SOC 2 Type II Renewal for ITEM LLC</t>
  </si>
  <si>
    <t>UNIS LLC SOC 2 TSC &amp; System Scope Alignment</t>
  </si>
  <si>
    <t>Current Cybersecurity and Network Security Owner (TBD) / Robert Moreno / Stacy Nguyen / Control Owners / Adam Gentner / Johanson Audit Team / Vanta Administrator</t>
  </si>
  <si>
    <t>UNIS LLC SOC 2 Type I Readiness, Payment and Auditor Assignment</t>
  </si>
  <si>
    <t>The vendor collected UNIS and ITEM equipment on Thursday (10/8); certificates are expected three to four weeks after pickup.</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</si>
  <si>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</si>
  <si>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</si>
  <si>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</si>
  <si>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</si>
  <si>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</si>
  <si>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</si>
  <si>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</si>
  <si>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</si>
  <si>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</si>
  <si>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</si>
  <si>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</si>
  <si>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</si>
  <si>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</si>
  <si>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</si>
  <si>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</si>
  <si>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</si>
  <si>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</si>
  <si>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</si>
  <si>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</si>
  <si>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</si>
  <si>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</si>
  <si>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</si>
  <si>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</si>
  <si>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</si>
  <si>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</si>
  <si>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</si>
  <si>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</si>
  <si>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</si>
  <si>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</si>
  <si>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</si>
  <si>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</si>
  <si>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</si>
  <si>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</si>
  <si>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</si>
  <si>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</si>
  <si>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</si>
  <si>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</si>
  <si>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</si>
  <si>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</si>
  <si>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</si>
  <si>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</si>
  <si>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</si>
  <si>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</si>
  <si>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</si>
  <si>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</si>
  <si>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</si>
  <si>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</si>
  <si>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</si>
  <si>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</si>
  <si>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</si>
  <si>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</si>
  <si>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</si>
  <si>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</si>
  <si>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</si>
  <si>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</si>
  <si>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</si>
  <si>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</si>
  <si>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</si>
  <si>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</si>
  <si>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</si>
  <si>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</si>
  <si>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</si>
  <si>
    <t>Mike Wang's replacement pending, Robert,  Johanson Group, Vanta Team</t>
  </si>
  <si>
    <t>Robert Moreno / Stacy Nguyen / Adam Gentner / Johanson Audit and Accounting Teams / Mike Wang's replacement pending / Legal / Vanta Administrator</t>
  </si>
  <si>
    <t>Vincent / Robert Moreno / Mike Wang's replacement pending / Johanson Group</t>
  </si>
  <si>
    <t>James Tran / Robert Moreno / Stacy Nguyen / Adam Gentner / Johanson Audit Team / Mike Wang's replacement pending / Vanta Administrator</t>
  </si>
  <si>
    <t>Green / 8/20 Target</t>
  </si>
  <si>
    <t>Green / 8/28 Target</t>
  </si>
  <si>
    <t>Green / 9/1 Target</t>
  </si>
  <si>
    <t>Green / 9/11 Target</t>
  </si>
  <si>
    <t>Green / 10/1 Target</t>
  </si>
  <si>
    <r>
      <t xml:space="preserve">- Barrier integration </t>
    </r>
    <r>
      <rPr>
        <sz val="9"/>
        <color rgb="FF1F1F1F"/>
        <rFont val="Segoe UI Emoji"/>
        <family val="2"/>
      </rPr>
      <t>✅</t>
    </r>
    <r>
      <rPr>
        <sz val="9"/>
        <color rgb="FF1F1F1F"/>
        <rFont val="Carlito"/>
        <charset val="134"/>
      </rPr>
      <t xml:space="preserve"> Completed
- Quadruped robot: 45%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70%</t>
    </r>
    <r>
      <rPr>
        <sz val="9"/>
        <color rgb="FF1F1F1F"/>
        <rFont val="Carlito"/>
        <charset val="134"/>
      </rPr>
      <t xml:space="preserve">
- Shuttle integration: Pending</t>
    </r>
  </si>
  <si>
    <t>Complete the above yard business application scenarios(H8).</t>
    <phoneticPr fontId="0" type="noConversion"/>
  </si>
  <si>
    <t>1. Three zones remain (OTD, VPL, VVPL) — we dont have enough staff on site to coordinate with operations for confirmation.
2. Continuous integration progress with Marco’s quadruped robot development team.
3. Shuttle integration is on hold for now. We'll finalize it after the Valley View warehouse move.</t>
    <phoneticPr fontId="0" type="noConversion"/>
  </si>
  <si>
    <t>Operational / NYDJ storage inspection confirmed pending; SKU expansion and shift-support readiness remain open before peak season</t>
  </si>
  <si>
    <t>TBD - pending inspection completion, approved SKU list, successful storage validation, and shift-support assignment</t>
  </si>
  <si>
    <t>Sustain reliable AirRob operations at Alessandro and expand suitable NYDJ SKU storage only after inspection clearance, with clear shift support, issue reporting, ASRS return controls, and peak-season capacity readiness.</t>
  </si>
  <si>
    <t>AirRob remains operational, but the NYDJ SKUs have not been added. On 21-Oct-2026, Chad confirmed that the required inspection was still pending. Abhijeet acknowledged the update and will provide an updated NYDJ SKU list once the inspection is complete. The delay prevents the planned storage expansion and full AirRob capacity use as peak season approaches. AM and PM AirRob support contacts also remain unconfirmed in the available portfolio evidence.</t>
  </si>
  <si>
    <t>Chad/Oscar/Ops: identify the inspection owner, scope, required evidence, target date, blockers, and corrective actions; confirm completion in writing. Abhijeet: prepare the updated NYDJ SKU list, then validate SKU suitability, storage locations, capacity, loading, retrieval, exception handling, and monitoring immediately after clearance. Operations: assign one AM and one PM AirRob contact, complete training and WeChat access, and reinforce prompt fault reporting and Return-to-ASRS controls.</t>
  </si>
  <si>
    <t>Chad Jacobs / Oscar Rodriguez / Abhijeet Rathi / Alessandro Operations / AM and PM AirRob Contacts (TBD) / Brant Ji / Neil Zhou / Anuj Jagetia / WISE Team</t>
  </si>
  <si>
    <t>The inspection has no documented owner or completion date, creating peak-season capacity and schedule risk. Any inspection finding may require corrective work before SKU loading. Unassigned shift contacts can delay fault response, training, exception handling, and ASRS handoff controls.</t>
  </si>
  <si>
    <t>Keep Amber and assign a dated inspection commitment. Escalate if the inspection cannot be completed before the peak-season cutoff or identifies a safety, storage, or equipment-readiness issue. Do not add NYDJ SKUs until inspection closure and successful functional validation are documented.</t>
  </si>
  <si>
    <t>RE NYDJ SKU Addition to AirRob Storage – Inspection Status email, 21-Oct-2026 PST: Chad confirmed inspection remains pending; Abhijeet acknowledged and will provide the updated SKU list after completion. Prior AirRob operational-support evidence retained.</t>
  </si>
  <si>
    <t>Deployment schedule and cost allocation approved / travel submitted; shipment receipt, Wi-Fi readiness, onsite execution, testing, and acceptance pending</t>
  </si>
  <si>
    <t>2026-10-08</t>
  </si>
  <si>
    <t>Target: 04-Dec-2026 onsite closeout, subject to 30-Oct receipt, travel approval, four-week execution, testing, and acceptance</t>
  </si>
  <si>
    <t>Deploy and commission the Memphis barcode-camera AGV solution without disrupting Black Friday operations, while validating software, localization, mechanical changes, Wi-Fi capacity, operator readiness, and production acceptance.</t>
  </si>
  <si>
    <t>David provided an estimated Memphis delivery date of 30-Oct-2026. Jane approved the revised schedule and UF-Ops cost allocation for 4550 Quality Dr., confirmed operator support, and stated that the later deployment will not affect Black Friday volume. Abhijeet submitted an ExpressPro travel request for 09-Nov through 04-Dec. Wi-Fi bandwidth, coverage, roaming, and AGV requirements must be checked before deployment and monitored during testing. The planned four-week sequence covers software and localization, reflector/mapping decisions, mechanical and camera-barcode work, network validation, full-system testing, training, acceptance, and handover.</t>
  </si>
  <si>
    <t>Confirm truck pickup, tracking, 30-Oct delivery, receipt inspection, and missing/damaged-item resolution. Stacy to approve the ExpressPro travel request. Abhijeet to finalize dated milestones, installation/testing windows, 16–20 Nov support, Thanksgiving-week coverage, operator schedule, and contingency. Network team to baseline bandwidth, coverage, roaming, utilization, and AGV performance before and during tests. Inspect and audit all other WCS, robotic, and automation equipment at Memphis during the visit. Pause or adjust testing if warehouse operations are affected.</t>
  </si>
  <si>
    <t>Abhijeet Rathi / Jane Sanchez / Matthew Drummond / David Rodriguez / Neil Zhou / Brant Ji / Mahan Sasani / Jerimar Castaneda / Mo Belleza / Memphis Operations / Network Team / Stacy Nguyen / Anuj Jagetia / Robert Moreno</t>
  </si>
  <si>
    <t>Travel still requires final approval, and shipment receipt and inspection are not confirmed. Peak-season access, Thanksgiving-week availability, network congestion, Wi-Fi coverage or roaming, lithium-battery transport, site readiness, and unresolved test defects could delay acceptance or affect operations.</t>
  </si>
  <si>
    <t>Keep Amber until the AGV is received intact, travel is approved, Wi-Fi readiness passes, support windows are confirmed, and deployment gates begin. Protect Black Friday operations through agreed testing windows, live monitoring, stop criteria, contingency, operator training, and documented acceptance.</t>
  </si>
  <si>
    <t>RE [ReadMe] Memphis Robot Deployment: Black Friday Readiness follow-up email thread, updates through 23-Oct-2026 PST.</t>
  </si>
  <si>
    <t>Temporary operation and onsite POC continuation approved / recurring errors, performance recovery, ROI validation, and support actions remain open</t>
  </si>
  <si>
    <t>2026-08-06</t>
  </si>
  <si>
    <t>TBD - after time-bound POC review, recurring-error resolution, operational acceptance, and ROI decision</t>
  </si>
  <si>
    <t>Run a controlled, time-bound continuation of the XYZ robot, resolve recurring technical issues with vendor support, and determine whether sustained performance and economics justify continued RaaS operation.</t>
  </si>
  <si>
    <t>After the same errors recurred and the 08-Oct container produced an additional loss of approximately $160, XYZ had proposed pausing and removing the equipment and advised against further repairs. Brant subsequently confirmed that Tom approved continued temporary operation. XYZ approved the POC to remain onsite and will provide after-sales support. UNIS will continue paying the original RaaS price and follow up with Thomas at XYZ to resolve the recurring issues. Prior September results remain unfavorable: 13 containers, estimated robot cost of $7,220, customer billing of $5,915, and a $1,305 loss, compared with approximately $2,015 estimated manual profit.</t>
  </si>
  <si>
    <t>Brant and Anuj: engage Thomas/XYZ on the recurring errors, obtain an action plan, target dates, support contacts, and service-response expectations. Define the POC duration, container sample size, uptime, error-rate, cycle-time, labor, safety, quality, cost-per-container, and stop-loss criteria. Operations: use the robot only within the approved POC, record every run and failure, and escalate safety or production impacts immediately. Finance/management: review actual RaaS cost versus customer billing and manual handling at the agreed checkpoint, then decide whether to continue, renegotiate, pause, or remove the robot.</t>
  </si>
  <si>
    <t>Brant Ji / Anuj Jagetia / Neil Zhou / Abhijeet Rathi / Tom Yu / Thomas and XYZ Robotics After-Sales Support / Heacock Operations / Finance / Robert Moreno / Stacy Nguyen</t>
  </si>
  <si>
    <t>Recurring errors and demonstrated negative ROI remain unresolved. Continuing under the original RaaS price creates ongoing loss exposure, while undefined POC duration and success criteria could allow an open-ended trial. Vendor response time, repair effectiveness, operational disruption, safety, space usage, and commercial exit terms require control.</t>
  </si>
  <si>
    <t>Keep Amber and treat continued operation as a conditional POC, not production acceptance. Require written success and stop criteria, dated vendor actions, weekly performance and cost review, and a formal management decision at the end of the trial. Do not authorize additional repair spending or long-term commitment without evidence that technical reliability and economics have improved.</t>
  </si>
  <si>
    <t>Update Regarding XYZ Robot email thread, latest Brant update 19-Oct-2026 PST: Tom approved temporary continued operation, original RaaS pricing remains, XYZ approved onsite POC continuation and after-sales support. Prior ROI evidence: September loss of $1,305 versus approximately $2,015 manual profit; 08-Oct container loss approximately $160.</t>
  </si>
  <si>
    <t>WCS / Robotics / Automation Equipment Audit Program</t>
  </si>
  <si>
    <t>Management direction confirmed / issue-priority approach and onsite audit practice agreed; baseline inventory, tracker, pilot cadence, owners, and post-peak plan pending</t>
  </si>
  <si>
    <t>2026-10-22</t>
  </si>
  <si>
    <t>Ongoing - peak-season issue response and visit-based audits now; broader audit and preventive-maintenance schedule after peak season</t>
  </si>
  <si>
    <t>Create a risk-based equipment-management process that prioritizes known operational issues, captures onsite audit findings, assigns repair ownership, and establishes a sustainable inspection and preventive-maintenance cadence.</t>
  </si>
  <si>
    <t>Neil proposed recurring checks because some equipment problems were not reported promptly by Operations. Robert recommended a baseline assessment, a six-to-eight-week pilot using two-week checks, one shared tracker, assigned Ops contacts, efficient travel planning, and a post-pilot review. Stacy directed the team to prioritize equipment with known issues or daily operational impact during peak season and to audit all WCS, robotic, and automation equipment whenever engineers visit a facility, including Memphis. Neil agreed to this approach, with wider audits after known issues are resolved and after peak season.</t>
  </si>
  <si>
    <t>Abhijeet and Anuj: build the equipment baseline with site, condition, known issue, operational impact, support owner, maintenance need, and target date. Establish one shared tracker and site Ops contacts. During each visit, inspect all relevant equipment at that facility and convert findings into assigned actions. Pilot the two-week review for six to eight weeks, then adjust frequency based on reliability and maintenance evidence. After peak season, schedule remaining sites and preventive maintenance; review recurring faults, repairs, travel effort, and support costs.</t>
  </si>
  <si>
    <t>Abhijeet Rathi / Anuj Jagetia / Neil Zhou / Brant Ji / Robert Moreno / Stacy Nguyen / Site Operations Contacts (TBD) / WCS, Robotics and Automation Support Teams</t>
  </si>
  <si>
    <t>Late or incomplete Operations reporting can hide failures until they disrupt production. The equipment inventory, criticality ranking, site contacts, inspection checklist, travel plan, tracker, target dates, and preventive-maintenance capacity are not yet confirmed. Peak-season workloads may constrain audit resources.</t>
  </si>
  <si>
    <t>Prioritize known issues and daily-operational impact during peak season. Require an audit of all relevant equipment at every planned site visit, starting with Memphis. Approve broader travel and preventive maintenance after peak season based on pilot evidence, risk, cost, and available resources.</t>
  </si>
  <si>
    <t>Equipment Management email thread, 22–24-Oct-2026 PST; management direction from Stacy Nguyen and confirmation from Neil Zhou.</t>
  </si>
  <si>
    <t>On Hold</t>
  </si>
  <si>
    <t>Scoping form incomplete / technical owner and TSC decision blocking assignment</t>
  </si>
  <si>
    <t>TBD - after scoping approval and audit assignment</t>
  </si>
  <si>
    <t>Complete the UNIS LLC SOC 2 Type I audit using a current, approved scope and accountable cybersecurity and network validation.</t>
  </si>
  <si>
    <t>Adam Gentner issued the UNIS Audit Scoping Form through PandaDoc. The form was forwarded to Vincent and the technical team for review. Mike stated that, because he was leaving the company, he should not submit it and highlighted a material scope mismatch: the prior UNIS report appears Security-only, while the System Description and Vanta configuration indicate all five Trust Services Criteria.</t>
  </si>
  <si>
    <t>Assign the current cybersecurity and network owner; confirm whether the audit covers Security only or Security, Availability, Confidentiality, Processing Integrity, and Privacy; reconcile PandaDoc, Vanta, the System Description, controls, and evidence; submit the form; then obtain Johanson audit-team assignment and a revised schedule.</t>
  </si>
  <si>
    <t>Robert Moreno / Stacy Nguyen / Current Cybersecurity and Network Security Owner (TBD) / Adam Gentner / Vincent Tian / Yangyang Yang / Qingmin Li / Zhiwei Liu</t>
  </si>
  <si>
    <t>No accountable technical signatory is confirmed, and the inconsistent TSC scope could misstate the engagement, controls, evidence population, and final report. Audit assignment remains blocked.</t>
  </si>
  <si>
    <t>P1 decision required on technical ownership and TSC scope. Do not submit or sign until the current owner validates the complete form.</t>
  </si>
  <si>
    <t>FW: Adam Gentner sent you Unis LLC Audit Scoping Form, issued 15-Sep-2026 and forwarded for technical review.</t>
  </si>
  <si>
    <t>Security-only versus all-TSC scope mismatch unresolved</t>
  </si>
  <si>
    <t>Establish one approved UNIS Type I scope across the Audit Scoping Form, System Description, Vanta framework, controls, evidence, and final report.</t>
  </si>
  <si>
    <t>Mike identified that the prior-year UNIS SOC 2 report appears limited to Security, while the System Description states all Trust Services Criteria apply and Vanta is configured for all criteria. The intended 2026 report scope has not been formally confirmed by the accountable current owner and Johanson.</t>
  </si>
  <si>
    <t>Obtain management and Johanson confirmation of the intended TSC scope; document the rationale; update the scoping form, System Description, Vanta framework, control matrix, and evidence plan to the same scope; then secure owner validation before submission.</t>
  </si>
  <si>
    <t>Robert Moreno / Stacy Nguyen / Current Cybersecurity and Network Security Owner (TBD) / Adam Gentner / Johanson Audit Team / Vanta Administrator / Control Owners</t>
  </si>
  <si>
    <t>Proceeding with inconsistent scope artifacts could cause testing gaps, rework, an incorrect audit opinion, or further schedule delay.</t>
  </si>
  <si>
    <t>Treat this as a gating scope decision. Keep Red until one TSC position is documented and accepted across all audit artifacts.</t>
  </si>
  <si>
    <t>FW: Adam Gentner sent you Unis LLC Audit Scoping Form; Mike Wang scope-mismatch note.</t>
  </si>
  <si>
    <t>Evidence staged / approved TSC scope and auditor review pending</t>
  </si>
  <si>
    <t>Prepare complete current-year evidence that matches the approved UNIS Type I Trust Services Criteria and supports Johanson testing.</t>
  </si>
  <si>
    <t>Evidence preparation can continue, but formal auditor review remains blocked by the incomplete scoping form, missing technical owner, and unresolved Security-only versus all-TSC decision. Existing evidence may need remapping after the scope decision.</t>
  </si>
  <si>
    <t>Maintain evidence collection; identify the current control owners; resolve the TSC scope; map every control and artifact to the approved criteria; submit the scoping form; then grant the assigned Johanson team access and close review gaps.</t>
  </si>
  <si>
    <t>Evidence may become stale, incomplete, or mapped to the wrong criteria. Delayed assignment compresses auditor review and remediation time.</t>
  </si>
  <si>
    <t>Prioritize ownership and scope resolution before treating evidence readiness as near complete.</t>
  </si>
  <si>
    <t>FW: Adam Gentner sent you Unis LLC Audit Scoping Form; scope and ownership updates through Oct-2026.</t>
  </si>
  <si>
    <t>Critical blocker / scoping form and TSC approval outstanding</t>
  </si>
  <si>
    <t>TBD - after validated scoping submission and assignment</t>
  </si>
  <si>
    <t>Close the UNIS ownership and scope gates so Johanson can assign the audit team and rebaseline the delayed Type I engagement.</t>
  </si>
  <si>
    <t>The Audit Scoping Form was issued and shared with the technical team, but it is not validated or submitted. Mike declined to act as submitter because of his departure and raised the TSC mismatch. The original as-of date has passed, and audit-team assignment remains pending.</t>
  </si>
  <si>
    <t>Name the accountable technical owner; resolve the TSC scope; complete and validate the PandaDoc form; submit it; obtain written audit-team assignment; add the Project Lead, backup auditor, and QA reviewer in Vanta; and publish revised milestones.</t>
  </si>
  <si>
    <t>Robert Moreno / Stacy Nguyen / Current Cybersecurity and Network Security Owner (TBD) / Adam Gentner / Johanson Audit Team / Vanta Administrator</t>
  </si>
  <si>
    <t>The engagement cannot progress to formal assignment. Continued delay may require rebaselining and leave insufficient time for evidence review, remediation, and reporting.</t>
  </si>
  <si>
    <t>Daily P1 tracking until the form, scope decision, assignment, and revised schedule are confirmed.</t>
  </si>
  <si>
    <t>FW: Adam Gentner sent you Unis LLC Audit Scoping Form; PandaDoc form issued 15-Sep-2026.</t>
  </si>
  <si>
    <t>Renewal review pending / ITEM billing and payment allocation open</t>
  </si>
  <si>
    <t>TBD - before Dec-2026 renewal approval</t>
  </si>
  <si>
    <t>Reconcile invoices, payments, entity names, employee scope, commercial terms, and remaining milestones for the UNIS and ITEM engagements.</t>
  </si>
  <si>
    <t>The December 2026 Vanta renewal review is being coordinated with Anthony Knox. The proposed review will cover entity alignment, employee coverage, renewal pricing and terms, and required approvals. Stacy confirmed availability on 28-Oct-2026 from 11:00 AM to 1:00 PM PST; final meeting time and Anthony’s availability remain to be confirmed.</t>
  </si>
  <si>
    <t>Confirm the meeting time; prepare the current contracts, employee counts, entity-transition status, invoices, payment allocation, renewal dates, and pricing questions; obtain updated proposals; reconcile Accounting records; and route final terms for management approval.</t>
  </si>
  <si>
    <t>Robert Moreno / Stacy Nguyen / Anthony Knox / Adam Gentner / Johanson Accounting / ITEM and UNIS Accounting / Legal / Vanta Administrator</t>
  </si>
  <si>
    <t>Incomplete entity and employee data could produce incorrect pricing or contract scope. Unresolved payment allocation or billing names may delay renewal or create duplicate charges.</t>
  </si>
  <si>
    <t>Require written proposals and internal approval before accepting renewal terms or changing contracting entities.</t>
  </si>
  <si>
    <t>Re: UNIS &amp; ITEM Vanta December 2026 Contract Renewal Review, updated 22-Oct-2026 PST.</t>
  </si>
  <si>
    <t>UNIS &amp; ITEM Vanta December 2026 Contract Renewal Review</t>
  </si>
  <si>
    <t>Meeting window proposed / scope and commercial decisions pending</t>
  </si>
  <si>
    <t>TBD - before Dec-2026 contract expiration</t>
  </si>
  <si>
    <t>Finalize the Vanta renewal scope, contracting entities, employee coverage, pricing, terms, owners, and approval path for UNIS and ITEM before the December 2026 expiration.</t>
  </si>
  <si>
    <t>Robert defined the review agenda and expected outcome. Stacy confirmed availability on 28-Oct-2026 from 11:00 AM to 1:00 PM PST after the original 27-Oct window did not align with Anthony’s schedule. The final meeting time is not yet confirmed in the email thread.</t>
  </si>
  <si>
    <t>Confirm Anthony’s availability and issue the final invite; validate contracting entities and proposed transitions; confirm covered employee populations; request renewal pricing and terms; document scope impacts; assign owners and deadlines; and obtain internal approval before expiration.</t>
  </si>
  <si>
    <t>Robert Moreno / Stacy Nguyen / Anthony Knox / Vanta / Legal / Finance / HR / Compliance Owners</t>
  </si>
  <si>
    <t>Scheduling delay, incomplete employee counts, unresolved entity changes, or late commercial approval could reduce negotiation time and risk renewal interruption or incorrect contract scope.</t>
  </si>
  <si>
    <t>Confirm the meeting promptly and require a decision log, updated proposals, and dated approval actions after the review.</t>
  </si>
  <si>
    <t>Implemented / controlled calendaring exception validated</t>
  </si>
  <si>
    <t>TBD - ongoing governance</t>
  </si>
  <si>
    <t>Restrict individual UNIS.CO mailboxes to internal communication while preserving approved, narrowly scoped business exceptions.</t>
  </si>
  <si>
    <t>The internal-only mail-flow control remains active. A calendaring-message exception was configured and validated so external parties and @unis.co users can exchange Microsoft Teams meeting invitations without reopening normal external email.</t>
  </si>
  <si>
    <t>Maintain the standard external-email restriction, document the calendaring exception, monitor rejected traffic, and require change approval for any additional exception.</t>
  </si>
  <si>
    <t>Yangyang Yang / Email Team / Robert Moreno</t>
  </si>
  <si>
    <t>An overly broad exception could weaken the internal-only policy; an overly narrow rule could block legitimate meeting invitations.</t>
  </si>
  <si>
    <t>Keep the workstream Green while the base control remains effective. Review exception evidence during mail-flow governance.</t>
  </si>
  <si>
    <t>Re: Teams Meeting Invites to External Customers thread, updated through 20-Oct-2026 PST.</t>
  </si>
  <si>
    <t>Completed / Ongoing Governance</t>
  </si>
  <si>
    <t>Approved customer and partner domains are supported; prior gaps such as newly identified domains showed the need for ongoing governance.</t>
  </si>
  <si>
    <t>Use a documented onboarding and approval process for every new customer, partner, OTP, and system-notification domain.</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</si>
  <si>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</si>
  <si>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</si>
  <si>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</si>
  <si>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TBD - after routing and pilot acceptance</t>
  </si>
  <si>
    <t>Make UnisTicket and approved shared mailboxes the authoritative channel for operational and customer work, with clear boundaries for collaboration tools.</t>
  </si>
  <si>
    <t>The email review confirms that users create and send Teams meeting invitations directly from Outlook or Teams. UnisTicket does not generate or send meeting invitations. Shared-mailbox routing, queue ownership, and external/customer workflow acceptance remain open.</t>
  </si>
  <si>
    <t>Complete the shared-mailbox-to-ticket queue map, test ticket creation and replies, publish that meeting invitations originate in Outlook or Teams, and obtain operational acceptance for each supported communication path.</t>
  </si>
  <si>
    <t>Lex Yang / Robin Zhu / Gemar Ermac / Mary Smothers / Yangyang Yang / Robert Moreno</t>
  </si>
  <si>
    <t>Users may route invitations through the wrong channel, or customer messages may bypass ticket ownership if shared-mailbox and queue mappings are incomplete.</t>
  </si>
  <si>
    <t>Require documented channel guidance and end-to-end pilot evidence before closing the workflow.</t>
  </si>
  <si>
    <t>UNIS.CO Email Transition records and Teams Meeting Invites thread, updated through 20-Oct-2026 PST.</t>
  </si>
  <si>
    <t>PH migration complete / Phase II roster and dependency validation pending</t>
  </si>
  <si>
    <t>TBD - after Phase II roster approval</t>
  </si>
  <si>
    <t>Maintain an accurate mailbox population and assign each user to the approved UNIS.co or itemonline.co identity without disrupting business services.</t>
  </si>
  <si>
    <t>The original PH migration remains complete. The new Phase II proposal expands planning to non-IT members and to IT users in the US, PH, and China. Final rosters, distribution-group membership, account-retention needs, and system dependencies have not been approved.</t>
  </si>
  <si>
    <t>Obtain the authoritative HR and IT rosters; confirm which users require UNIS.co, itemonline.co, or retained ITEM customer-facing accounts; validate groups, aliases, logins, OTP, Teams, and business applications before cutover.</t>
  </si>
  <si>
    <t>Stacy Nguyen / Tom Yu / Yangyang Yang / Lex Yang / Vee Serra / HR / Help Desk / Robert Moreno</t>
  </si>
  <si>
    <t>Incorrect identity allocation or premature account removal could interrupt customer communication, system access, authentication, or group delivery.</t>
  </si>
  <si>
    <t>Keep this row Amber until the Phase II population, dependencies, retention rules, and rollout sequence are approved.</t>
  </si>
  <si>
    <t>Re: Unis.co Account Migration Phase II thread, updated through 19-Oct-2026 PST.</t>
  </si>
  <si>
    <t>Phase 1 technically complete / operational sign-off pending</t>
  </si>
  <si>
    <t>Technical implementation for the initial rollout is complete. Mary issued user communication reinforcing UnisTicket. Remaining acceptance items are PH Operations channel guidance, client reconfiguration validation, complete ticket-group and exception mapping, and agreement on urgent-request handling during a ticketing outage.</t>
  </si>
  <si>
    <t>Obtain named sign-off from Operations and Customer Service; publish the approved channel guide for UnisTicket, SMS, and authorized email exceptions; close client-validation items; and approve a separately scoped pilot for PH-US direct-email restrictions.</t>
  </si>
  <si>
    <t>Robert Moreno / Mary Smothers / Gemar Ermac / Patrick Pogoy / Michelle Topete / Business Owners / IT</t>
  </si>
  <si>
    <t>Closing Phase 1 before users, exceptions, routing, and contingency procedures are validated could leave hidden communication gaps or drive staff back to direct Outlook follow-ups.</t>
  </si>
  <si>
    <t>Treat technical completion and business acceptance separately. Require explicit sign-off or documented exceptions before closure.</t>
  </si>
  <si>
    <t>PH Operations email workflow and Phase 1 sign-off thread, Sep 24–Oct 4, 2026 PST.</t>
  </si>
  <si>
    <t>User validation and support in progress</t>
  </si>
  <si>
    <t>TBD - after user acceptance</t>
  </si>
  <si>
    <t>The prior account-data exceptions are superseded by the completed migration: 116 accounts were migrated and five HR-approved accounts were excluded. The remaining issue is client-side cache or profile configuration that may continue displaying or sending from the old UNISCO.COM address.</t>
  </si>
  <si>
    <t>Publish reconfiguration guidance; identify affected users; reset or recreate profiles where required; verify sending, receiving, calendars, Teams, mobile access, and aliases; document HelpDesk completion and user acceptance.</t>
  </si>
  <si>
    <t>Yangyang Yang / Billy Rivas / Mel Gutierrez / HelpDesk / Affected Users</t>
  </si>
  <si>
    <t>Incomplete reconfiguration may cause incorrect sender presentation, failed user adoption, duplicate support cases, or confusion over the authoritative address.</t>
  </si>
  <si>
    <t>Track affected users to verified closure and retain UNISCO.COM aliases unless a separately approved change removes them.</t>
  </si>
  <si>
    <t>Yangyang Yang client-reconfiguration update and migration confirmation, Sep 23–24, 2026 PST.</t>
  </si>
  <si>
    <t>PH-US Direct Email Restriction and Ticketing Enforcement</t>
  </si>
  <si>
    <t>Requirements and limited pilot pending / calendaring path validated</t>
  </si>
  <si>
    <t>TBD - after approved pilot</t>
  </si>
  <si>
    <t>Route PH-US operational and customer communications through UnisTicket while preserving approved direct-email exceptions, calendar invitations, and service continuity.</t>
  </si>
  <si>
    <t>The calendaring exception now permits inbound and outbound Teams meeting invitations while normal external email restrictions remain in place. Ticketing does not create or send the invitations. The broader PH-US direct-email enforcement scope, exception roster, and outage fallback remain pending.</t>
  </si>
  <si>
    <t>Finalize the enforcement population and named exceptions; link users to the correct shared-mailbox and ticket queues; use the dedicated Teams-invitation procedure; approve the outage fallback; and run a monitored pilot with rollback criteria.</t>
  </si>
  <si>
    <t>Gemar Ermac / Mary Smothers / Michelle Topete / Lex Yang / Robin Zhu / HR PH / Yangyang Yang / Robert Moreno</t>
  </si>
  <si>
    <t>A broad rule could block critical functions, while unclear channel guidance could drive users to unapproved workarounds or cause meeting-response failures.</t>
  </si>
  <si>
    <t>Approve scope, exceptions, contingency, and pilot evidence before production enforcement. Track the invitation-reply NDR separately.</t>
  </si>
  <si>
    <t>PH Operations restriction records and Teams Meeting Invites thread, updated through 20-Oct-2026 PST.</t>
  </si>
  <si>
    <t>UNIS.CO / ITEMONLINE.CO Domain Migration Phase II</t>
  </si>
  <si>
    <t>Phased strategy proposed / stakeholder approval pending</t>
  </si>
  <si>
    <t>TBD - after scope, roster, and dependency approval</t>
  </si>
  <si>
    <t>Implement a controlled domain strategy for non-IT and global IT users while preserving required ITEM customer-facing identities and system access.</t>
  </si>
  <si>
    <t>Tom directed ITEM internal communication to use itemonline.co and confirmed China members are in scope. Stacy proposed UNIS.co Phase II for non-IT members, itemonline.co Phase I for US and PH IT, and itemonline.co Phase II for China IT. Input from Yangyang, Lex, and Robert is still requested.</t>
  </si>
  <si>
    <t>Approve the domain model; confirm US, PH, China, and non-IT rosters; inventory distribution groups and owners; identify logins and OTP dependencies; preserve required customer-facing ITEM accounts; pilot US/PH IT; then stage China IT with communications and rollback plans.</t>
  </si>
  <si>
    <t>Stacy Nguyen / Tom Yu / Yangyang Yang / Lex Yang / Robert Moreno / Vee Serra / HR / Help Desk / Business Owners</t>
  </si>
  <si>
    <t>Account deactivation could break system administration or customer communication. Unapproved rosters, unclear domain ownership, and cross-region timing could create access and adoption issues.</t>
  </si>
  <si>
    <t>Leadership approval is required for the phased model, retention rules, owners, and cutover gates before provisioning or deactivation.</t>
  </si>
  <si>
    <t>External Microsoft Teams Invitation Workflow</t>
  </si>
  <si>
    <t>Enable controlled external Microsoft Teams meeting invitations without relaxing the standard external-email restriction.</t>
  </si>
  <si>
    <t>Users can create and send invitations directly from Outlook or Teams. @unis.co users can invite external participants, and external users can invite @unis.co recipients after the calendaring exception. Both sides receive the invitation details. Directly replying by email to the invitation produces an NDR for both internal and external users.</t>
  </si>
  <si>
    <t>Confirm the supported response path using Accept, Tentative, Decline, proposed-time, update, and cancellation actions; decide whether direct email replies are intentionally blocked; publish user guidance; validate organizer backup and joining behavior; and monitor the exception.</t>
  </si>
  <si>
    <t>Yangyang Yang / Billy Rivas / Gemar Ermac / Lex Yang / Armin / Cris / Network Support / Robert Moreno</t>
  </si>
  <si>
    <t>Users may assume an emailed reply was delivered when it generated an NDR. A mis-scoped mail-flow exception could either block invitations or permit unintended external email.</t>
  </si>
  <si>
    <t>Keep Amber until the reply behavior is resolved or formally accepted, end-to-end calendar tests pass, and operating guidance is published.</t>
  </si>
  <si>
    <t>Mike Wang, Robert,  Johanson Group, Vanta Team</t>
  </si>
  <si>
    <t>SOC 2 Type I Renewal for UNIS</t>
  </si>
  <si>
    <t>Readiness / audit entity decision pending</t>
  </si>
  <si>
    <t>2026-08-03</t>
  </si>
  <si>
    <t>TBD; Sep 28 as-of date tentative</t>
  </si>
  <si>
    <t>Complete the UNIS SOC 2 Type I audit under the correct legal entity while reusing valid readiness work and avoiding duplicate cost.</t>
  </si>
  <si>
    <t>Security-scope Vanta audit created; System Description submitted Sep 15. Johanson confirmed a $10,000 fee ($5,000 after SOW; $5,000 after draft report) and a typical 4–6 weeks from testing. Scoping form, entity documentation, payment confirmation, and auditor assignment remain open.</t>
  </si>
  <si>
    <t>Return the Audit Scoping Form and updated headcount; obtain legal transition documents and the audit team’s ruling if Unisco.com Inc. is separate from UNIS LLC. Decide reporting entity and as-of date with Stacy, then authorize payment and auditor assignment.</t>
  </si>
  <si>
    <t>Robert Moreno / Mike Wang / Adam Gentner / Johanson Group / Leadership</t>
  </si>
  <si>
    <t>Whether a separate corporation can assume this Type I engagement is unresolved. Missing scoping, legal documents, or payment confirmation may defer the tentative Sep 28 assessment.</t>
  </si>
  <si>
    <t>Approve the UNIS reporting entity, initial $5,000 payment, and revised as-of date once Johanson confirms the legally supported path.</t>
  </si>
  <si>
    <t>Johanson correspondence, Sep 15–22, 2026; Robert follow-up supplied Sep 27. No final ruling on separate-entity transfer.</t>
  </si>
  <si>
    <t>SOC 2 Type II Renewal for ITEM</t>
  </si>
  <si>
    <t>Observation active / entity treatment under review</t>
  </si>
  <si>
    <t>2026-01-21</t>
  </si>
  <si>
    <t>2027-01-20</t>
  </si>
  <si>
    <t>Complete the ITEM SOC 2 Type II audit and align the engagement and final report with Item.com Inc. without interrupting the observation period.</t>
  </si>
  <si>
    <t>Observation continues through Jan 20, 2027. Johanson expects a Change Order and updated System Description and engagement records for Item.com, Inc.; unchanged operations should not automatically require a restart. Treatment of contracts, employees, customers, or operations remaining under ITEM LLC awaits audit-team guidance.</t>
  </si>
  <si>
    <t>Provide legal transition documents and map each in-scope service to its operating entity. Obtain auditor guidance on mixed-entity operations, then review and sign the Change Order. Prepare in November; formal testing follows the observation period.</t>
  </si>
  <si>
    <t>Robert Moreno / Mike Wang / Adam Gentner / Johanson Group / Stacy Nguyen / Legal</t>
  </si>
  <si>
    <t>Mixed-entity operations or incomplete legal and system documentation may affect the reporting entity and final report.</t>
  </si>
  <si>
    <t>Stacy to approve the Change Order after the audit team confirms reporting treatment and any fee or scope effects.</t>
  </si>
  <si>
    <t>Johanson correspondence, Sep 15–22, 2026; Robert follow-up supplied Sep 27.</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</si>
  <si>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</si>
  <si>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</si>
  <si>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</si>
  <si>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</si>
  <si>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</si>
  <si>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</si>
  <si>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</si>
  <si>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</si>
  <si>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</si>
  <si>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</si>
  <si>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</si>
  <si>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</si>
  <si>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Framework timing / entity treatment pending</t>
  </si>
  <si>
    <t>Establish GDPR privacy and data-protection framework.</t>
  </si>
  <si>
    <t>GDPR framework has not been purchased or set up in Vanta. Johanson is checking whether work under ITEM LLC can carry forward to Item.com, Inc. and whether framework setup should start before the entity transition.</t>
  </si>
  <si>
    <t>Obtain Johanson’s guidance on evidence reuse and setup timing; align the legal entity and scope with Vanta before approving framework purchase and assessment timing.</t>
  </si>
  <si>
    <t>Premature setup under the wrong entity could cause rework; audit scope and timetable remain undecided.</t>
  </si>
  <si>
    <t>Decide framework timing and ownership once Johanson and leadership confirm the ITEM entity path.</t>
  </si>
  <si>
    <t>UNIS SOC 2 Type I Readiness, Entity and Payment Decision</t>
  </si>
  <si>
    <t>Pre-audit requirements / decision pending</t>
  </si>
  <si>
    <t>2026-09-15</t>
  </si>
  <si>
    <t>TBD - leadership decision</t>
  </si>
  <si>
    <t>Close remaining readiness items and establish a documented audit entity, fee, payment, and start decision.</t>
  </si>
  <si>
    <t>System Description submitted. Johanson confirmed the UNIS Type I fee and advised that Type I is not required before a future Type II. Auditor assignment awaits the scoping form, legal entity documentation, and initial payment confirmation; Sep 28 is tentative.</t>
  </si>
  <si>
    <t>Complete scoping with current headcount and review remaining control evidence. Obtain separate-entity guidance and legal documents; confirm the audit entity, payment, and as-of date before assignment.</t>
  </si>
  <si>
    <t>Robert Moreno / Mike Wang / Adam Gentner / Johanson Group / Vincent / Leadership</t>
  </si>
  <si>
    <t>Outstanding scoping, payment, and separate-entity treatment may delay auditor assignment; evidence applicability also awaits review.</t>
  </si>
  <si>
    <t>Leadership to confirm entity and payment decision; rebaseline the tentative as-of date with Johanson.</t>
  </si>
  <si>
    <t>The vendor collected UNIS and ITEM equipment last Thursday; certificates are expected three to four weeks after pickup.</t>
  </si>
  <si>
    <t>Vincent / Robert Moreno / Mike Wang / Johanson Group</t>
  </si>
  <si>
    <t>Discovery / Planning</t>
  </si>
  <si>
    <t>Plan the transition from ITEM LLC and UNIS LLC to Item.com, Inc. and Unisco.com, Inc. while preserving prepaid value, compliance history, and uninterrupted coverage.</t>
  </si>
  <si>
    <t>New entities and EINs exist, but legal continuity and the operating entity for each in-scope service remain to be documented. Johanson has not confirmed transferring the UNIS engagement to a wholly separate corporation; GDPR framework is not yet set up in Vanta.</t>
  </si>
  <si>
    <t>Gather legal and operating-entity records; coordinate Vanta subscription and evidence options with Johanson’s audit guidance before any entity or framework change.</t>
  </si>
  <si>
    <t>Robert Moreno / Anthony (Vanta) / Adam Gentner (Johanson) / Mike Wang / Leadership / HR / Legal</t>
  </si>
  <si>
    <t>Premature platform or entity changes could break evidence continuity or misstate the reporting entity.</t>
  </si>
  <si>
    <t>Maintain current environments and subscriptions until Vanta and Johanson options are documented and leadership approves the implementation path.</t>
  </si>
  <si>
    <t>Johanson correspondence, Sep 18–22, 2026; Robert follow-up supplied Sep 27; existing Vanta workstream.</t>
  </si>
  <si>
    <t>SOC 2 Legal-Entity Audit Strategy and Fee Decision</t>
  </si>
  <si>
    <t>Partial guidance received / final ruling pending</t>
  </si>
  <si>
    <t>TBD - Johanson response</t>
  </si>
  <si>
    <t>Select a coordinated SOC 2 path for UNIS LLC, ITEM LLC, Unisco.com Inc., and Item.com Inc. that preserves valid work and avoids duplicate audits and fees.</t>
  </si>
  <si>
    <t>Johanson confirmed the UNIS fee, no Type I prerequisite for future Type II, conditional reuse of unchanged audit work, and the ITEM Change Order path. The audit team is still reviewing a wholly separate UNIS corporation, mixed ITEM LLC/Inc. operations, and GDPR carry-forward and timing.</t>
  </si>
  <si>
    <t>Provide legal transition documents and an entity-to-service map. Obtain written audit-team rulings, compare timing and costs, and submit a coordinated UNIS/ITEM/GDPR recommendation to Stacy.</t>
  </si>
  <si>
    <t>Robert Moreno / Adam Gentner / Mike Wang / Stacy Nguyen / Leadership / Legal</t>
  </si>
  <si>
    <t>Deciding before the outstanding legal and audit questions are resolved may require rework or produce a report under the wrong entity.</t>
  </si>
  <si>
    <t>Leadership to approve the final entity, engagement, payment, and GDPR paths after the remaining auditor guidance.</t>
  </si>
  <si>
    <t>Adam Gentner responses, Sep 22, 2026; Robert follow-up supplied Sep 27.</t>
  </si>
  <si>
    <t>Management direction confirmed / issue-priority approach and visit-based audits active; baseline inventory, shared tracker, cadence, site contacts, and post-peak plan remain open</t>
  </si>
  <si>
    <t>Ongoing - peak-season issue response and onsite audits now; broader audit and preventive-maintenance schedule after peak season</t>
  </si>
  <si>
    <t>Create a risk-based equipment-management process that prioritizes known operational issues, captures onsite audit findings and underused assets, assigns owners, and establishes a sustainable inspection, preventive-maintenance, and reuse cadence.</t>
  </si>
  <si>
    <t>Neil proposed recurring checks because equipment problems were not always reported promptly by Operations. Robert recommended a baseline assessment, a six-to-eight-week pilot with two-week checks, one shared tracker, assigned site contacts, efficient travel planning, and a post-pilot review. Stacy directed the team to prioritize known issues and daily operational impact during peak season, audit all WCS, robotic, and automation equipment during each site visit, and schedule wider visits after peak season. Neil agreed. A concrete asset-reuse item has now been identified: the first forklift weight scale built in Fontana is at Heacock, where the site manager indicated it is not needed and moved it aside.</t>
  </si>
  <si>
    <t>Abhijeet and Anuj: build the equipment baseline and shared tracker with site, asset ID, condition, usage, known issue, operational impact, support owner, maintenance need, reuse potential, and target date. Assign an Ops contact at each site. Inspect all relevant equipment during every visit and convert findings into actions. Pilot two-week reviews for six to eight weeks, then adjust the cadence. Add the Heacock forklift scale to the tracker and coordinate its assessment and reuse decision. After peak season, schedule remaining audits and preventive maintenance and review recurring faults, repairs, travel effort, asset reuse, and support costs.</t>
  </si>
  <si>
    <t>Abhijeet Rathi / Anuj Jagetia / Neil Zhou / Brant Ji / Robert Moreno / Stacy Nguyen / Site Operations Contacts (TBD) / WCS, Robotics and Automation Support Teams / Facilities and Asset Management</t>
  </si>
  <si>
    <t>Late Operations reporting can hide failures until they disrupt production. The equipment inventory, asset identifiers, criticality and utilization ranking, site contacts, checklist, tracker, cadence, travel plan, target dates, preventive-maintenance capacity, and asset-disposition controls are not yet complete. Peak-season workloads may constrain audit resources.</t>
  </si>
  <si>
    <t>Keep Amber. Prioritize known failures and daily operational impact during peak season, require an audit of all relevant equipment at each planned visit, and record underused assets for reuse or disposition review. Use the Memphis visit and Heacock forklift-scale case as early execution checkpoints. Approve broader travel and preventive maintenance after peak season based on evidence, risk, cost, and capacity.</t>
  </si>
  <si>
    <t>Equipment Management email thread, 22–24-Oct-2026 PST; management direction from Stacy Nguyen and confirmation from Neil Zhou. Forklift Weight Scale in Heacock email, 25-Oct-2026 PST.</t>
  </si>
  <si>
    <t>Heacock Forklift Weight Scale Reuse and Transfer</t>
  </si>
  <si>
    <t>Scale identified as unused at Heacock / condition, ownership, destination, transfer approval, logistics, calibration, and acceptance pending</t>
  </si>
  <si>
    <t>2026-10-25</t>
  </si>
  <si>
    <t>TBD - after asset assessment, receiving-site confirmation, approval, transfer, calibration, and operational acceptance</t>
  </si>
  <si>
    <t>Preserve value from the unused forklift weight scale by confirming its condition and ownership, selecting a justified receiving site, and completing a safe, controlled, and documented transfer and recommissioning.</t>
  </si>
  <si>
    <t>Neil reported that the first forklift scale was built in Fontana and is now at Heacock. According to the Heacock manager, the site does not need the scale and moved it aside. Neil recommended transferring and reusing it at another location. No receiving site, asset details, condition assessment, transfer approval, cost, schedule, calibration status, or acceptance plan is documented. Neil advised that Abhijeet can provide further details.</t>
  </si>
  <si>
    <t>Abhijeet/Neil: confirm asset ID, model, serial number, ownership, current exact location, photos, working condition, capacity, dimensions, power and mounting needs, software or integration requirements, calibration and certification status, accessories, and removal constraints. Mo/Operations/Facilities: identify candidate sites and validate the business need and site readiness. Finance/Asset Management: confirm book treatment and approval. Select the destination, compare transfer and installation cost with replacement value, approve the move, document chain of custody, transport safely, recalibrate, test, train users, and obtain receiving-site acceptance.</t>
  </si>
  <si>
    <t>Neil Zhou / Abhijeet Rathi / Mo Belleza / Heacock Operations and Manager / Candidate Receiving-Site Operations / Facilities / Asset Management / Finance / Brant Ji / Anuj Jagetia / Robert Moreno / Stacy Nguyen</t>
  </si>
  <si>
    <t>The scale may be damaged, incomplete, uncalibrated, unsupported, or unsuitable for another site. Unknown ownership, specifications, removal requirements, transfer cost, destination readiness, regulatory or measurement requirements, and chain of custody could create safety, accuracy, schedule, or financial risk.</t>
  </si>
  <si>
    <t>Keep Amber until condition and ownership are verified and a receiving site accepts the business case. Do not move or commission the scale without approved handling, transport, installation, calibration, safety, testing, and acceptance controls. If reuse is not economical, route the asset through the formal disposition process.</t>
  </si>
  <si>
    <t>Forklift Weight Scale in Heacock email from Neil Zhou, 25-Oct-2026 PST: scale built in Fontana, currently at Heacock, not needed by Heacock management, and proposed for transfer and reuse; Abhijeet identified as the detailed-information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</si>
</sst>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1">
    <font>
      <sz val="11"/>
      <color theme="1"/>
      <name val="宋体"/>
    </font>
    <font>
      <b/>
      <sz val="11"/>
      <color rgb="FFFFFFFF"/>
      <name val="Aptos"/>
    </font>
    <font>
      <sz val="11"/>
      <color rgb="FF1F1F1F"/>
      <name val="Aptos"/>
    </font>
    <font>
      <sz val="11"/>
      <color theme="1"/>
      <name val="宋体"/>
    </font>
    <font>
      <b/>
      <sz val="11"/>
      <color rgb="FF000000"/>
      <name val="Aptos"/>
    </font>
    <font>
      <sz val="10"/>
      <color rgb="FF000000"/>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b/>
      <sz val="10"/>
      <color rgb="FF006100"/>
      <name val="Arial"/>
    </font>
    <font>
      <sz val="10"/>
      <color rgb="FF7F6000"/>
      <name val="Aptos"/>
    </font>
    <font>
      <b/>
      <sz val="10"/>
      <color rgb="FF7F6000"/>
      <name val="Aptos"/>
    </font>
    <font>
      <b/>
      <sz val="10"/>
      <color rgb="FF9C0006"/>
      <name val="Aptos"/>
    </font>
    <font>
      <sz val="11"/>
      <color rgb="FF000000"/>
      <name val="宋体"/>
    </font>
    <font>
      <sz val="11"/>
      <color rgb="FF000000"/>
      <name val="Aptos"/>
      <family val="2"/>
    </font>
    <font>
      <b/>
      <sz val="10"/>
      <color rgb="FF9C6500"/>
      <name val="Arial"/>
    </font>
    <font>
      <b/>
      <sz val="11"/>
      <color rgb="FFFFFFFF"/>
      <name val="Arial"/>
    </font>
  </fonts>
  <fills count="19">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D9E5F3"/>
      </patternFill>
    </fill>
    <fill>
      <patternFill patternType="solid">
        <fgColor rgb="FFFFFFFF"/>
      </patternFill>
    </fill>
    <fill>
      <patternFill patternType="solid">
        <fgColor rgb="FFF4CCCC"/>
      </patternFill>
    </fill>
    <fill>
      <patternFill patternType="solid">
        <fgColor rgb="FF1F4E78"/>
        <bgColor rgb="FF000000"/>
      </patternFill>
    </fill>
    <fill>
      <patternFill patternType="solid">
        <fgColor rgb="FFDCE6F1"/>
        <bgColor rgb="FFDCE6F1"/>
      </patternFill>
    </fill>
  </fills>
  <borders count="13">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s>
  <cellStyleXfs count="3">
    <xf numFmtId="0" fontId="0" fillId="0" borderId="0"/>
    <xf numFmtId="0" fontId="3" fillId="0" borderId="0"/>
    <xf numFmtId="9" fontId="3" fillId="0" borderId="0" applyFont="0" applyFill="0" applyBorder="0" applyAlignment="0" applyProtection="0"/>
  </cellStyleXfs>
  <cellXfs count="115">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5" fillId="0" borderId="4" xfId="0" applyFont="1" applyBorder="1" applyAlignment="1">
      <alignment horizontal="center" vertical="top" wrapText="1"/>
    </xf>
    <xf numFmtId="0" fontId="5" fillId="0" borderId="4" xfId="0" applyFont="1" applyBorder="1" applyAlignment="1">
      <alignment horizontal="left" vertical="top" wrapText="1"/>
    </xf>
    <xf numFmtId="164" fontId="5" fillId="0" borderId="4" xfId="0" applyNumberFormat="1" applyFont="1" applyBorder="1" applyAlignment="1">
      <alignment horizontal="center" vertical="top" wrapText="1"/>
    </xf>
    <xf numFmtId="9" fontId="5" fillId="0" borderId="4" xfId="0" applyNumberFormat="1" applyFont="1" applyBorder="1" applyAlignment="1">
      <alignment horizontal="center" vertical="top" wrapText="1"/>
    </xf>
    <xf numFmtId="0" fontId="5"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5"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9" fillId="0" borderId="0" xfId="0" applyFont="1"/>
    <xf numFmtId="0" fontId="0" fillId="0" borderId="0" xfId="0"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3" fillId="6"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5" fillId="7" borderId="0" xfId="0" applyFont="1" applyFill="1" applyAlignment="1">
      <alignment vertical="center"/>
    </xf>
    <xf numFmtId="0" fontId="16" fillId="8" borderId="0" xfId="0" applyFont="1" applyFill="1" applyAlignment="1">
      <alignment vertical="center" wrapText="1"/>
    </xf>
    <xf numFmtId="0" fontId="17" fillId="9" borderId="6" xfId="0" applyFont="1" applyFill="1" applyBorder="1" applyAlignment="1">
      <alignment horizontal="center" vertical="center" wrapText="1"/>
    </xf>
    <xf numFmtId="0" fontId="17" fillId="9" borderId="7" xfId="0" applyFont="1" applyFill="1" applyBorder="1" applyAlignment="1">
      <alignment horizontal="center" vertical="center" wrapText="1"/>
    </xf>
    <xf numFmtId="0" fontId="17" fillId="9" borderId="8" xfId="0" applyFont="1" applyFill="1" applyBorder="1" applyAlignment="1">
      <alignment horizontal="center" vertical="center" wrapText="1"/>
    </xf>
    <xf numFmtId="0" fontId="17" fillId="9" borderId="9" xfId="0" applyFont="1" applyFill="1" applyBorder="1" applyAlignment="1">
      <alignment horizontal="center" vertical="center" wrapText="1"/>
    </xf>
    <xf numFmtId="0" fontId="17" fillId="9" borderId="0" xfId="0" applyFont="1" applyFill="1" applyAlignment="1">
      <alignment vertical="center" wrapText="1"/>
    </xf>
    <xf numFmtId="0" fontId="18" fillId="10" borderId="4" xfId="0" applyFont="1" applyFill="1" applyBorder="1" applyAlignment="1">
      <alignment vertical="top" wrapText="1"/>
    </xf>
    <xf numFmtId="0" fontId="19" fillId="11" borderId="4" xfId="0" applyFont="1" applyFill="1" applyBorder="1" applyAlignment="1">
      <alignment horizontal="center" vertical="top" wrapText="1"/>
    </xf>
    <xf numFmtId="164" fontId="18" fillId="10" borderId="4" xfId="0" applyNumberFormat="1" applyFont="1" applyFill="1" applyBorder="1" applyAlignment="1">
      <alignment vertical="top" wrapText="1"/>
    </xf>
    <xf numFmtId="9" fontId="18" fillId="10" borderId="4" xfId="0" applyNumberFormat="1" applyFont="1" applyFill="1" applyBorder="1" applyAlignment="1">
      <alignment vertical="top" wrapText="1"/>
    </xf>
    <xf numFmtId="0" fontId="18" fillId="10" borderId="2" xfId="0" applyFont="1" applyFill="1" applyBorder="1" applyAlignment="1">
      <alignment horizontal="center" vertical="top" wrapText="1"/>
    </xf>
    <xf numFmtId="9" fontId="18" fillId="10" borderId="2" xfId="0" applyNumberFormat="1" applyFont="1" applyFill="1" applyBorder="1" applyAlignment="1">
      <alignment horizontal="center" vertical="top" wrapText="1"/>
    </xf>
    <xf numFmtId="0" fontId="18" fillId="10" borderId="2" xfId="0" applyFont="1" applyFill="1" applyBorder="1" applyAlignment="1">
      <alignment vertical="top" wrapText="1"/>
    </xf>
    <xf numFmtId="0" fontId="18" fillId="0" borderId="4" xfId="0" applyFont="1" applyBorder="1" applyAlignment="1">
      <alignment vertical="top" wrapText="1"/>
    </xf>
    <xf numFmtId="164" fontId="18" fillId="0" borderId="4" xfId="0" applyNumberFormat="1" applyFont="1" applyBorder="1" applyAlignment="1">
      <alignment vertical="top" wrapText="1"/>
    </xf>
    <xf numFmtId="0" fontId="18" fillId="0" borderId="3" xfId="0" applyFont="1" applyBorder="1" applyAlignment="1">
      <alignment horizontal="center" vertical="top" wrapText="1"/>
    </xf>
    <xf numFmtId="9" fontId="18" fillId="0" borderId="3" xfId="0" applyNumberFormat="1" applyFont="1" applyBorder="1" applyAlignment="1">
      <alignment horizontal="center" vertical="top" wrapText="1"/>
    </xf>
    <xf numFmtId="0" fontId="18" fillId="0" borderId="3" xfId="0" applyFont="1" applyBorder="1" applyAlignment="1">
      <alignment vertical="top" wrapText="1"/>
    </xf>
    <xf numFmtId="0" fontId="18" fillId="10" borderId="3" xfId="0" applyFont="1" applyFill="1" applyBorder="1" applyAlignment="1">
      <alignment horizontal="center" vertical="top" wrapText="1"/>
    </xf>
    <xf numFmtId="9" fontId="18" fillId="10" borderId="3" xfId="0" applyNumberFormat="1" applyFont="1" applyFill="1" applyBorder="1" applyAlignment="1">
      <alignment horizontal="center" vertical="top" wrapText="1"/>
    </xf>
    <xf numFmtId="0" fontId="18" fillId="10" borderId="3" xfId="0" applyFont="1" applyFill="1" applyBorder="1" applyAlignment="1">
      <alignment vertical="top" wrapText="1"/>
    </xf>
    <xf numFmtId="0" fontId="18" fillId="10" borderId="3" xfId="0" quotePrefix="1" applyFont="1" applyFill="1" applyBorder="1" applyAlignment="1">
      <alignment horizontal="center" vertical="top" wrapText="1"/>
    </xf>
    <xf numFmtId="0" fontId="4" fillId="3" borderId="4" xfId="0"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165" fontId="5" fillId="0" borderId="4" xfId="0" applyNumberFormat="1" applyFont="1" applyBorder="1" applyAlignment="1">
      <alignment horizontal="center" vertical="top" wrapText="1"/>
    </xf>
    <xf numFmtId="0" fontId="0" fillId="13" borderId="4" xfId="0" applyFill="1" applyBorder="1" applyAlignment="1">
      <alignment vertical="top" wrapText="1"/>
    </xf>
    <xf numFmtId="0" fontId="0" fillId="3" borderId="4" xfId="0" applyFill="1" applyBorder="1" applyAlignment="1">
      <alignment vertical="top" wrapText="1"/>
    </xf>
    <xf numFmtId="0" fontId="12" fillId="3" borderId="4" xfId="0" applyFont="1" applyFill="1" applyBorder="1" applyAlignment="1">
      <alignment horizontal="left" vertical="top" wrapText="1"/>
    </xf>
    <xf numFmtId="165" fontId="11" fillId="3" borderId="4" xfId="0" applyNumberFormat="1" applyFont="1" applyFill="1" applyBorder="1" applyAlignment="1">
      <alignment horizontal="center" vertical="top" wrapText="1"/>
    </xf>
    <xf numFmtId="0" fontId="14" fillId="3" borderId="4" xfId="0" applyFont="1" applyFill="1" applyBorder="1" applyAlignment="1">
      <alignment horizontal="center" vertical="center" wrapText="1"/>
    </xf>
    <xf numFmtId="0" fontId="4" fillId="13" borderId="4" xfId="0" applyFont="1" applyFill="1" applyBorder="1" applyAlignment="1">
      <alignment horizontal="center" vertical="center" wrapText="1"/>
    </xf>
    <xf numFmtId="165" fontId="22" fillId="13" borderId="4" xfId="0" applyNumberFormat="1" applyFont="1" applyFill="1" applyBorder="1" applyAlignment="1">
      <alignment horizontal="center" vertical="top" wrapText="1"/>
    </xf>
    <xf numFmtId="0" fontId="11" fillId="3" borderId="4" xfId="0" applyFont="1" applyFill="1" applyBorder="1" applyAlignment="1">
      <alignment horizontal="center" vertical="top" wrapText="1"/>
    </xf>
    <xf numFmtId="0" fontId="23" fillId="13"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4"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5" borderId="0" xfId="0" applyFont="1" applyFill="1" applyAlignment="1">
      <alignment horizontal="left" vertical="top" wrapText="1"/>
    </xf>
    <xf numFmtId="0" fontId="2" fillId="14" borderId="0" xfId="0" applyFont="1" applyFill="1" applyAlignment="1">
      <alignment horizontal="left" vertical="top" wrapText="1"/>
    </xf>
    <xf numFmtId="164" fontId="11" fillId="3" borderId="3" xfId="0" applyNumberFormat="1" applyFont="1" applyFill="1" applyBorder="1" applyAlignment="1">
      <alignment horizontal="center" vertical="center" wrapText="1"/>
    </xf>
    <xf numFmtId="0" fontId="2" fillId="15" borderId="2" xfId="0" applyFont="1" applyFill="1" applyBorder="1" applyAlignment="1">
      <alignment horizontal="left" vertical="top" wrapText="1"/>
    </xf>
    <xf numFmtId="0" fontId="1" fillId="2" borderId="0" xfId="0" applyFont="1" applyFill="1" applyAlignment="1">
      <alignment horizontal="center" vertical="top" wrapText="1"/>
    </xf>
    <xf numFmtId="0" fontId="24" fillId="3" borderId="4" xfId="0" applyFont="1" applyFill="1" applyBorder="1" applyAlignment="1">
      <alignment horizontal="center" vertical="top" wrapText="1"/>
    </xf>
    <xf numFmtId="0" fontId="25" fillId="3" borderId="4" xfId="0" applyFont="1" applyFill="1" applyBorder="1" applyAlignment="1">
      <alignment horizontal="center" vertical="top" wrapText="1"/>
    </xf>
    <xf numFmtId="0" fontId="26" fillId="16" borderId="4" xfId="0" applyFont="1" applyFill="1" applyBorder="1" applyAlignment="1">
      <alignment horizontal="center" vertical="top" wrapText="1"/>
    </xf>
    <xf numFmtId="0" fontId="8" fillId="17" borderId="10" xfId="0" applyFont="1" applyFill="1" applyBorder="1" applyAlignment="1">
      <alignment horizontal="center" vertical="center" wrapText="1"/>
    </xf>
    <xf numFmtId="0" fontId="8" fillId="17" borderId="11" xfId="0" applyFont="1" applyFill="1" applyBorder="1" applyAlignment="1">
      <alignment horizontal="center" vertical="center" wrapText="1"/>
    </xf>
    <xf numFmtId="0" fontId="8" fillId="17" borderId="12" xfId="0" applyFont="1" applyFill="1" applyBorder="1" applyAlignment="1">
      <alignment horizontal="center" vertical="center" wrapText="1"/>
    </xf>
    <xf numFmtId="0" fontId="10" fillId="18" borderId="0" xfId="0" applyFont="1" applyFill="1" applyAlignment="1">
      <alignment horizontal="center" vertical="top" wrapText="1"/>
    </xf>
    <xf numFmtId="0" fontId="10" fillId="18" borderId="0" xfId="0" applyFont="1" applyFill="1" applyAlignment="1">
      <alignment vertical="top" wrapText="1"/>
    </xf>
    <xf numFmtId="0" fontId="4" fillId="12" borderId="0" xfId="0" applyFont="1" applyFill="1" applyAlignment="1">
      <alignment horizontal="center" vertical="center" wrapText="1"/>
    </xf>
    <xf numFmtId="9" fontId="10" fillId="18" borderId="0" xfId="0" applyNumberFormat="1" applyFont="1" applyFill="1" applyAlignment="1">
      <alignment horizontal="center" vertical="top" wrapText="1"/>
    </xf>
    <xf numFmtId="0" fontId="10" fillId="0" borderId="0" xfId="0" applyFont="1" applyAlignment="1">
      <alignment horizontal="center" vertical="top" wrapText="1"/>
    </xf>
    <xf numFmtId="0" fontId="10" fillId="0" borderId="0" xfId="0" applyFont="1" applyAlignment="1">
      <alignment vertical="top" wrapText="1"/>
    </xf>
    <xf numFmtId="9" fontId="10" fillId="0" borderId="0" xfId="0" applyNumberFormat="1" applyFont="1" applyAlignment="1">
      <alignment horizontal="center" vertical="top" wrapText="1"/>
    </xf>
    <xf numFmtId="0" fontId="27" fillId="0" borderId="0" xfId="0" applyFont="1" applyAlignment="1">
      <alignment vertical="center" wrapText="1"/>
    </xf>
    <xf numFmtId="0" fontId="28" fillId="0" borderId="0" xfId="0" applyFont="1"/>
    <xf numFmtId="0" fontId="29" fillId="3" borderId="3" xfId="0" applyFont="1" applyFill="1" applyBorder="1" applyAlignment="1">
      <alignment horizontal="center" vertical="center" wrapText="1"/>
    </xf>
    <xf numFmtId="164" fontId="29" fillId="3" borderId="3" xfId="0" applyNumberFormat="1" applyFont="1" applyFill="1" applyBorder="1" applyAlignment="1">
      <alignment horizontal="center" vertical="center" wrapText="1"/>
    </xf>
    <xf numFmtId="0" fontId="2" fillId="0" borderId="3" xfId="0" applyFont="1" applyBorder="1" applyAlignment="1">
      <alignment vertical="center" wrapText="1"/>
    </xf>
    <xf numFmtId="0" fontId="2" fillId="0" borderId="3" xfId="0" applyFont="1" applyBorder="1" applyAlignment="1">
      <alignment horizontal="center" vertical="center" wrapText="1"/>
    </xf>
    <xf numFmtId="164" fontId="2" fillId="0" borderId="3" xfId="0" applyNumberFormat="1" applyFont="1" applyBorder="1" applyAlignment="1">
      <alignment horizontal="center" vertical="center" wrapText="1"/>
    </xf>
    <xf numFmtId="0" fontId="2" fillId="14" borderId="0" xfId="0" applyFont="1" applyFill="1" applyAlignment="1">
      <alignment horizontal="left" vertical="center" wrapText="1"/>
    </xf>
    <xf numFmtId="16" fontId="25" fillId="3" borderId="4" xfId="0" applyNumberFormat="1" applyFont="1" applyFill="1" applyBorder="1" applyAlignment="1">
      <alignment horizontal="center" vertical="top" wrapText="1"/>
    </xf>
    <xf numFmtId="16" fontId="26" fillId="16" borderId="4" xfId="0" applyNumberFormat="1" applyFont="1" applyFill="1" applyBorder="1" applyAlignment="1">
      <alignment horizontal="center" vertical="top" wrapText="1"/>
    </xf>
    <xf numFmtId="0" fontId="2" fillId="5" borderId="4" xfId="0" applyFont="1" applyFill="1" applyBorder="1" applyAlignment="1">
      <alignment horizontal="center" vertical="top" wrapText="1"/>
    </xf>
    <xf numFmtId="165" fontId="0" fillId="0" borderId="4" xfId="0" applyNumberFormat="1" applyBorder="1" applyAlignment="1">
      <alignment horizontal="center" vertical="top" wrapText="1"/>
    </xf>
    <xf numFmtId="0" fontId="30" fillId="2" borderId="4" xfId="0" applyFont="1" applyFill="1" applyBorder="1" applyAlignment="1">
      <alignment horizontal="center" vertical="top" wrapText="1"/>
    </xf>
    <xf numFmtId="165" fontId="23" fillId="13" borderId="4" xfId="0" applyNumberFormat="1" applyFont="1" applyFill="1" applyBorder="1" applyAlignment="1">
      <alignment horizontal="center" vertical="top" wrapText="1"/>
    </xf>
    <xf numFmtId="0" fontId="12" fillId="3" borderId="4" xfId="0" applyFont="1" applyFill="1" applyBorder="1" applyAlignment="1">
      <alignment horizontal="center" vertical="top" wrapText="1"/>
    </xf>
    <xf numFmtId="16" fontId="4" fillId="13" borderId="4" xfId="0" applyNumberFormat="1" applyFont="1" applyFill="1" applyBorder="1" applyAlignment="1">
      <alignment horizontal="center" vertical="center" wrapText="1"/>
    </xf>
    <xf numFmtId="9" fontId="0" fillId="0" borderId="4" xfId="0" applyNumberFormat="1" applyBorder="1" applyAlignment="1">
      <alignment vertical="top" wrapText="1"/>
    </xf>
    <xf numFmtId="0" fontId="15" fillId="7" borderId="0" xfId="0" applyFont="1" applyFill="1" applyAlignment="1">
      <alignment vertical="center"/>
    </xf>
    <xf numFmtId="0" fontId="16" fillId="8" borderId="0" xfId="0" applyFont="1" applyFill="1" applyAlignment="1">
      <alignment vertical="center" wrapText="1"/>
    </xf>
    <xf numFmtId="0" fontId="2" fillId="15" borderId="2" xfId="0" applyFont="1" applyFill="1" applyBorder="1" applyAlignment="1">
      <alignment horizontal="left" vertical="center" wrapText="1"/>
    </xf>
  </cellXfs>
  <cellStyles count="3">
    <cellStyle name="Normal" xfId="0" builtinId="0"/>
    <cellStyle name="Percent" xfId="2" xr:uid="{00000000-0005-0000-0000-000001000000}"/>
    <cellStyle name="常规" xfId="1" xr:uid="{00000000-0005-0000-0000-000002000000}"/>
  </cellStyles>
  <dxfs count="147">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006100"/>
      </font>
      <fill>
        <patternFill>
          <bgColor rgb="FFC6E0B4"/>
        </patternFill>
      </fill>
    </dxf>
    <dxf>
      <font>
        <b/>
        <color rgb="FF9C6500"/>
      </font>
      <fill>
        <patternFill>
          <bgColor rgb="FFFFF2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006100"/>
      </font>
      <fill>
        <patternFill>
          <bgColor rgb="FFC6E0B4"/>
        </patternFill>
      </fill>
    </dxf>
    <dxf>
      <font>
        <b/>
        <color rgb="FF9C6500"/>
      </font>
      <fill>
        <patternFill>
          <bgColor rgb="FFFFF2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46"/>
    <tableColumn id="2" xr3:uid="{96D6F9DD-6A4C-4A23-8A2B-F5291F35F77B}" name="Project / Workstream" dataDxfId="145"/>
    <tableColumn id="3" xr3:uid="{888D9B81-A395-47DF-80CE-DA1131D1376F}" name="Status" dataDxfId="144"/>
    <tableColumn id="4" xr3:uid="{CD231B59-4E25-4B82-A1EB-E707CA38F7F6}" name="Start Date" dataDxfId="143"/>
    <tableColumn id="5" xr3:uid="{09DB588B-E2A0-4761-85A9-73F0AAB8C56E}" name="Completion Date" dataDxfId="142"/>
    <tableColumn id="6" xr3:uid="{1A4661DA-45C5-46A1-916F-2F7D6E08BB15}" name="% of Completion" dataDxfId="141"/>
    <tableColumn id="7" xr3:uid="{48DEBC38-3245-436F-B70F-5021B1121FE5}" name="Core Objective" dataDxfId="140"/>
    <tableColumn id="8" xr3:uid="{290E8003-D7B1-4D5D-857D-CBB894CC223E}" name="Current Progress" dataDxfId="139"/>
    <tableColumn id="9" xr3:uid="{BCACD256-A4F8-499C-BFD0-C1A9A8DABF38}" name="Key Next Steps" dataDxfId="138"/>
    <tableColumn id="10" xr3:uid="{5A660B4D-1115-4650-BF44-269E14C2F4B6}" name="Owners / Direct Responsible Individual" dataDxfId="137"/>
    <tableColumn id="11" xr3:uid="{8A1FC045-4525-484D-851C-CE33F806003F}" name="Key Risks / Blockers" dataDxfId="136"/>
    <tableColumn id="12" xr3:uid="{FF19E1D6-D997-457B-AED2-186127759682}" name="Management Attention" dataDxfId="135"/>
    <tableColumn id="13" xr3:uid="{7B618D71-AE79-4B84-AB4E-BE24031BD242}" name="Source / Notes" dataDxfId="13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6DDB0E-551D-443E-A257-FEB2A7898FA9}" name="TeamRoadmapTable52" displayName="TeamRoadmapTable52" ref="A1:M8" totalsRowShown="0">
  <autoFilter ref="A1:M8" xr:uid="{5E6DDB0E-551D-443E-A257-FEB2A7898FA9}"/>
  <tableColumns count="13">
    <tableColumn id="1" xr3:uid="{CCF4AF96-D8F6-4991-9BD9-AAD3AEC8DB45}" name="#"/>
    <tableColumn id="2" xr3:uid="{C0A18929-92F4-433B-9806-CB3B176A0BA2}" name="Project / Workstream"/>
    <tableColumn id="3" xr3:uid="{7B345371-1876-4147-91F3-C099505C2DEC}" name="Status"/>
    <tableColumn id="4" xr3:uid="{B0EB0ED1-0BF9-4A08-8C78-111E8CE7BC0C}" name="RAG Status"/>
    <tableColumn id="5" xr3:uid="{309DAB85-2DB4-40C5-B068-5FBEE49E36FF}" name="Start Date"/>
    <tableColumn id="6" xr3:uid="{F375AEDE-FE4A-4998-8E24-30D8BD52273F}" name="Completion Date"/>
    <tableColumn id="7" xr3:uid="{0E1A3058-6BA0-43B9-9B52-B37ECE5B9F63}" name="% of Completion"/>
    <tableColumn id="8" xr3:uid="{7CBC97B6-38A2-4813-8DDB-9784AE51E0AD}" name="Core Objective"/>
    <tableColumn id="9" xr3:uid="{665CCFFE-E117-4436-96EA-64C03A03D85B}" name="Current Progress"/>
    <tableColumn id="10" xr3:uid="{0F18D2DD-B64E-4F4C-8DC0-BE94499C9F63}" name="Key Next Steps"/>
    <tableColumn id="11" xr3:uid="{E8BF9247-304E-4163-95D4-35AB8539C76F}" name="Owners / Direct Responsible Individual"/>
    <tableColumn id="12" xr3:uid="{F0D9CEBF-5513-4D85-A3E8-EE3FE8D7DCE0}" name="Key Risks / Blockers"/>
    <tableColumn id="13" xr3:uid="{84A97F29-D3F9-4DFC-8E85-BC3E418AE3C9}" name="Management Atten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5DA8CF1-0749-447D-BE9F-234CC140F3D5}" name="_10IoTTable" displayName="_10IoTTable" ref="A3:M7" totalsRowShown="0">
  <autoFilter ref="A3:M7" xr:uid="{65DA8CF1-0749-447D-BE9F-234CC140F3D5}"/>
  <tableColumns count="13">
    <tableColumn id="1" xr3:uid="{A42FBC5A-5AB7-4E56-8955-D33DD8B39A2F}" name="#" dataDxfId="133"/>
    <tableColumn id="2" xr3:uid="{48895D70-CD40-454C-BCF6-E71E20E1B5D7}" name="Project / Workstream" dataDxfId="132"/>
    <tableColumn id="3" xr3:uid="{7042EA98-2297-45CD-8FB8-4DB81434329B}" name="Status" dataDxfId="131"/>
    <tableColumn id="13" xr3:uid="{6ACFE3C6-7C72-4612-B788-1A2EE239387D}" name="RAG Status" dataDxfId="130"/>
    <tableColumn id="4" xr3:uid="{B077331C-655B-4625-B3AE-960E49A8DAA0}" name="Start Date" dataDxfId="129"/>
    <tableColumn id="5" xr3:uid="{14C810B0-8C31-4BAC-B4AA-225493DA4C35}" name="Completion Date" dataDxfId="128"/>
    <tableColumn id="6" xr3:uid="{92E2932C-BBDB-4580-9824-73C127586685}" name="% of Completion" dataDxfId="127"/>
    <tableColumn id="7" xr3:uid="{637CBACF-931B-4A5D-83E3-D8F95A6B569E}" name="Core Objective"/>
    <tableColumn id="8" xr3:uid="{96183204-6BB9-41FA-A03C-6594655716D0}" name="Current Progress"/>
    <tableColumn id="9" xr3:uid="{761E254D-A73D-4E17-B889-C31A24AA6E25}" name="Key Next Steps"/>
    <tableColumn id="10" xr3:uid="{7636D1C9-D72D-4105-8567-EBA8CD4E69C8}" name="Owner / Responsible"/>
    <tableColumn id="11" xr3:uid="{BA27276F-261A-4A04-A957-CB4FBB0F4B6E}" name="Key Risks / Blockers"/>
    <tableColumn id="12" xr3:uid="{7819FF11-4557-4047-9653-D7D6CC7ACE48}"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608F297-8742-4FB9-9E04-B1157A41375B}" name="TeamRoadmapTable5" displayName="TeamRoadmapTable5" ref="A1:M8" totalsRowShown="0">
  <autoFilter ref="A1:M8" xr:uid="{C608F297-8742-4FB9-9E04-B1157A41375B}"/>
  <tableColumns count="13">
    <tableColumn id="1" xr3:uid="{5FD14C3B-893F-4F75-8E09-AD96DF0442A4}" name="#"/>
    <tableColumn id="2" xr3:uid="{CCC28E1F-395D-43ED-BAC4-8E1CF3A6D30B}" name="Project / Workstream"/>
    <tableColumn id="3" xr3:uid="{89A6373D-656C-43ED-9D47-D1F08B03E82D}" name="Status"/>
    <tableColumn id="4" xr3:uid="{D70D11DB-A2F6-4892-A184-0F75CFF8B212}" name="RAG Status"/>
    <tableColumn id="5" xr3:uid="{5C36154E-32C5-428D-A2FA-2AD22BE2DBA1}" name="Start Date"/>
    <tableColumn id="6" xr3:uid="{94EF4D04-1B12-4814-8B32-0E8420DD71F8}" name="Completion Date"/>
    <tableColumn id="7" xr3:uid="{BDAB9FAB-8371-4D73-A199-6621EB8DEEA5}" name="% of Completion"/>
    <tableColumn id="8" xr3:uid="{9E518B2D-8D2F-467D-994B-17C41B13187C}" name="Core Objective"/>
    <tableColumn id="9" xr3:uid="{2B6BD6DC-71C5-4457-B8E3-5DAE4F0EAE73}" name="Current Progress"/>
    <tableColumn id="10" xr3:uid="{41B16784-2C67-4544-9C0A-7F447141A29E}" name="Key Next Steps"/>
    <tableColumn id="11" xr3:uid="{A3149908-66F5-4D83-9C25-3373502C8B52}" name="Owners / Direct Responsible Individual"/>
    <tableColumn id="12" xr3:uid="{DB87B251-1E97-4492-840A-E2BBDBA629DD}" name="Key Risks / Blockers"/>
    <tableColumn id="13" xr3:uid="{1943AE03-353F-479B-A74D-7AB14154882C}" name="Management Atten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FD927E-694D-48DB-BDCB-B7EF17D92354}" name="TeamRoadmapTable6" displayName="TeamRoadmapTable6" ref="A1:M12" totalsRowShown="0">
  <autoFilter ref="A1:M12" xr:uid="{EFFD927E-694D-48DB-BDCB-B7EF17D92354}"/>
  <tableColumns count="13">
    <tableColumn id="1" xr3:uid="{FD853018-9160-40B6-AD3A-01FBA01C8180}" name="#" dataDxfId="126"/>
    <tableColumn id="2" xr3:uid="{1082E385-152B-497E-89DE-67429E70E855}" name="Project / Workstream" dataDxfId="125"/>
    <tableColumn id="3" xr3:uid="{DD2D94DC-2FA3-4380-94F7-5B3B8DAB545E}" name="Status" dataDxfId="124"/>
    <tableColumn id="4" xr3:uid="{90563E9B-C25F-4DAB-9B4B-10A06A29FF49}" name="Start Date" dataDxfId="123"/>
    <tableColumn id="5" xr3:uid="{FAB56266-E4E8-457C-8294-2344A83E9AB5}" name="Completion Date" dataDxfId="122"/>
    <tableColumn id="6" xr3:uid="{B5B770EA-2D63-4268-B956-B86A2D96D931}" name="% of Completion" dataDxfId="121"/>
    <tableColumn id="7" xr3:uid="{9C244548-A355-4394-84DF-6C4F9C30B433}" name="Core Objective" dataDxfId="120"/>
    <tableColumn id="8" xr3:uid="{49E7CA11-05AD-4974-9AEA-D42373D9A8C9}" name="Current Progress" dataDxfId="119"/>
    <tableColumn id="9" xr3:uid="{33C40143-39AF-428C-BF9D-AD0CC8CF7C20}" name="Key Next Steps" dataDxfId="118"/>
    <tableColumn id="10" xr3:uid="{171C6211-BEA3-4026-BB75-96BBCCB9F34F}" name="Owners / Direct Responsible Individual" dataDxfId="117"/>
    <tableColumn id="11" xr3:uid="{52ABC80D-1F46-4C95-ADD7-573DD9895B58}" name="Key Risks / Blockers" dataDxfId="116"/>
    <tableColumn id="12" xr3:uid="{71A740DB-BF55-484E-83A5-FB5F077091BA}" name="Management Attention" dataDxfId="115"/>
    <tableColumn id="13" xr3:uid="{0BB4D142-9FDE-40BF-863F-DB4D20B001FC}" name="Source / Notes" dataDxfId="11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EA520-8DED-42FF-AE1D-EA325312A428}" name="TeamRoadmapTable66" displayName="TeamRoadmapTable66" ref="A1:M12" totalsRowShown="0">
  <autoFilter ref="A1:M12" xr:uid="{4F3EA520-8DED-42FF-AE1D-EA325312A428}"/>
  <tableColumns count="13">
    <tableColumn id="1" xr3:uid="{BA6234AF-A2CE-4505-9800-89DF60D8D1B5}" name="#" dataDxfId="113"/>
    <tableColumn id="2" xr3:uid="{0F3C72E8-FDF5-4C3E-8002-181B4941F0E2}" name="Project / Workstream" dataDxfId="112"/>
    <tableColumn id="3" xr3:uid="{9BC4F7F1-CF84-4F48-8BFF-CF42E3B9F023}" name="Status" dataDxfId="111"/>
    <tableColumn id="4" xr3:uid="{CA172084-5F14-449F-ADC0-E3442336F438}" name="Start Date" dataDxfId="110"/>
    <tableColumn id="5" xr3:uid="{5775675D-FA3A-4EFF-BE16-EEEF395FE6EB}" name="Completion Date" dataDxfId="109"/>
    <tableColumn id="6" xr3:uid="{B8FE331E-C500-40B6-A9EF-EA25F25C91DB}" name="% of Completion" dataDxfId="108"/>
    <tableColumn id="7" xr3:uid="{1C903765-1ABA-47D7-8DCC-69299C6DC0EB}" name="Core Objective" dataDxfId="107"/>
    <tableColumn id="8" xr3:uid="{D3FC52C0-445C-43EF-8AAE-45D8FB4561D6}" name="Current Progress" dataDxfId="106"/>
    <tableColumn id="9" xr3:uid="{335B1F4D-C602-4F87-84FD-A1CFD3383BD6}" name="Key Next Steps" dataDxfId="105"/>
    <tableColumn id="10" xr3:uid="{58EF9552-93B5-4FDF-B73F-68B923748B94}" name="Owners / Direct Responsible Individual" dataDxfId="104"/>
    <tableColumn id="11" xr3:uid="{72675B8A-2AA3-4250-95A0-16DF36D3A611}" name="Key Risks / Blockers" dataDxfId="103"/>
    <tableColumn id="12" xr3:uid="{CAC71F88-3105-4513-BA26-1DBF5CA737D2}" name="Management Attention" dataDxfId="102"/>
    <tableColumn id="13" xr3:uid="{E603EA2D-4F37-4288-96B0-5ABDD9AF4C55}" name="Source / Notes" dataDxfId="10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workbookViewId="0">
      <pane ySplit="1" topLeftCell="A2" activePane="bottomLeft" state="frozen"/>
      <selection pane="bottomLeft"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347</v>
      </c>
      <c r="G1" s="6" t="s">
        <v>5</v>
      </c>
      <c r="H1" s="6" t="s">
        <v>6</v>
      </c>
      <c r="I1" s="6" t="s">
        <v>7</v>
      </c>
      <c r="J1" s="6" t="s">
        <v>8</v>
      </c>
      <c r="K1" s="6" t="s">
        <v>9</v>
      </c>
      <c r="L1" s="6" t="s">
        <v>10</v>
      </c>
      <c r="M1" s="6" t="s">
        <v>11</v>
      </c>
      <c r="N1" s="1" t="s">
        <v>12</v>
      </c>
    </row>
    <row r="2" spans="1:14" ht="160" customHeight="1">
      <c r="A2" s="31">
        <v>1</v>
      </c>
      <c r="B2" s="32" t="s">
        <v>293</v>
      </c>
      <c r="C2" s="33" t="s">
        <v>294</v>
      </c>
      <c r="D2" s="69" t="s">
        <v>13</v>
      </c>
      <c r="E2" s="34">
        <v>46286</v>
      </c>
      <c r="F2" s="35" t="s">
        <v>295</v>
      </c>
      <c r="G2" s="36">
        <v>0.6</v>
      </c>
      <c r="H2" s="32" t="s">
        <v>296</v>
      </c>
      <c r="I2" s="32" t="s">
        <v>297</v>
      </c>
      <c r="J2" s="32" t="s">
        <v>298</v>
      </c>
      <c r="K2" s="32" t="s">
        <v>410</v>
      </c>
      <c r="L2" s="32" t="s">
        <v>299</v>
      </c>
      <c r="M2" s="32" t="s">
        <v>300</v>
      </c>
      <c r="N2" s="37" t="s">
        <v>411</v>
      </c>
    </row>
    <row r="3" spans="1:14" ht="160" customHeight="1">
      <c r="A3" s="31">
        <v>2</v>
      </c>
      <c r="B3" s="32" t="s">
        <v>16</v>
      </c>
      <c r="C3" s="33" t="s">
        <v>301</v>
      </c>
      <c r="D3" s="69" t="s">
        <v>13</v>
      </c>
      <c r="E3" s="34">
        <v>46286</v>
      </c>
      <c r="F3" s="35" t="s">
        <v>302</v>
      </c>
      <c r="G3" s="36">
        <v>0.85</v>
      </c>
      <c r="H3" s="32" t="s">
        <v>303</v>
      </c>
      <c r="I3" s="32" t="s">
        <v>304</v>
      </c>
      <c r="J3" s="32" t="s">
        <v>305</v>
      </c>
      <c r="K3" s="32" t="s">
        <v>412</v>
      </c>
      <c r="L3" s="32" t="s">
        <v>306</v>
      </c>
      <c r="M3" s="32" t="s">
        <v>307</v>
      </c>
      <c r="N3" s="37" t="s">
        <v>411</v>
      </c>
    </row>
    <row r="4" spans="1:14" ht="160" customHeight="1">
      <c r="A4" s="31">
        <v>3</v>
      </c>
      <c r="B4" s="32" t="s">
        <v>18</v>
      </c>
      <c r="C4" s="33" t="s">
        <v>308</v>
      </c>
      <c r="D4" s="69" t="s">
        <v>13</v>
      </c>
      <c r="E4" s="34">
        <v>46286</v>
      </c>
      <c r="F4" s="35" t="s">
        <v>309</v>
      </c>
      <c r="G4" s="36">
        <v>0.5</v>
      </c>
      <c r="H4" s="32" t="s">
        <v>310</v>
      </c>
      <c r="I4" s="32" t="s">
        <v>311</v>
      </c>
      <c r="J4" s="32" t="s">
        <v>312</v>
      </c>
      <c r="K4" s="32" t="s">
        <v>413</v>
      </c>
      <c r="L4" s="32" t="s">
        <v>313</v>
      </c>
      <c r="M4" s="32" t="s">
        <v>314</v>
      </c>
      <c r="N4" s="37" t="s">
        <v>411</v>
      </c>
    </row>
    <row r="5" spans="1:14" ht="39.65" customHeight="1">
      <c r="A5" s="7">
        <v>4</v>
      </c>
      <c r="B5" s="8" t="s">
        <v>19</v>
      </c>
      <c r="C5" s="7" t="s">
        <v>20</v>
      </c>
      <c r="D5" s="70" t="s">
        <v>21</v>
      </c>
      <c r="E5" s="9" t="s">
        <v>14</v>
      </c>
      <c r="F5" s="9" t="s">
        <v>14</v>
      </c>
      <c r="G5" s="10">
        <v>1</v>
      </c>
      <c r="H5" s="8" t="s">
        <v>22</v>
      </c>
      <c r="I5" s="8" t="s">
        <v>23</v>
      </c>
      <c r="J5" s="8" t="s">
        <v>24</v>
      </c>
      <c r="K5" s="8" t="s">
        <v>414</v>
      </c>
      <c r="L5" s="8" t="s">
        <v>25</v>
      </c>
      <c r="M5" s="8" t="s">
        <v>26</v>
      </c>
      <c r="N5" s="4" t="s">
        <v>27</v>
      </c>
    </row>
    <row r="6" spans="1:14" ht="96" customHeight="1">
      <c r="A6" s="7"/>
      <c r="B6" s="8"/>
      <c r="C6" s="7"/>
      <c r="D6" s="70" t="s">
        <v>21</v>
      </c>
      <c r="E6" s="9"/>
      <c r="F6" s="9"/>
      <c r="G6" s="10"/>
      <c r="H6" s="8"/>
      <c r="I6" s="8"/>
      <c r="J6" s="8"/>
      <c r="K6" s="8"/>
      <c r="L6" s="8"/>
      <c r="M6" s="8"/>
      <c r="N6" s="12" t="s">
        <v>35</v>
      </c>
    </row>
    <row r="7" spans="1:14" ht="96" customHeight="1">
      <c r="A7" s="7"/>
      <c r="B7" s="8"/>
      <c r="C7" s="7"/>
      <c r="D7" s="70" t="s">
        <v>21</v>
      </c>
      <c r="E7" s="9"/>
      <c r="F7" s="9"/>
      <c r="G7" s="10"/>
      <c r="H7" s="8"/>
      <c r="I7" s="8"/>
      <c r="J7" s="8"/>
      <c r="K7" s="8"/>
      <c r="L7" s="8"/>
      <c r="M7" s="8"/>
      <c r="N7" s="12" t="s">
        <v>43</v>
      </c>
    </row>
    <row r="8" spans="1:14" ht="96" customHeight="1">
      <c r="A8" s="11">
        <v>5</v>
      </c>
      <c r="B8" s="12" t="s">
        <v>28</v>
      </c>
      <c r="C8" s="7" t="s">
        <v>315</v>
      </c>
      <c r="D8" s="70"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67</v>
      </c>
      <c r="D9" s="70" t="s">
        <v>21</v>
      </c>
      <c r="E9" s="13" t="s">
        <v>14</v>
      </c>
      <c r="F9" s="13" t="s">
        <v>292</v>
      </c>
      <c r="G9" s="14">
        <v>1</v>
      </c>
      <c r="H9" s="12" t="s">
        <v>37</v>
      </c>
      <c r="I9" s="12" t="s">
        <v>38</v>
      </c>
      <c r="J9" s="12" t="s">
        <v>39</v>
      </c>
      <c r="K9" s="12" t="s">
        <v>40</v>
      </c>
      <c r="L9" s="12" t="s">
        <v>41</v>
      </c>
      <c r="M9" s="12" t="s">
        <v>42</v>
      </c>
      <c r="N9" s="12" t="s">
        <v>35</v>
      </c>
    </row>
    <row r="10" spans="1:14" ht="96" customHeight="1">
      <c r="A10" s="11">
        <v>7</v>
      </c>
      <c r="B10" s="12" t="s">
        <v>44</v>
      </c>
      <c r="C10" s="7" t="s">
        <v>45</v>
      </c>
      <c r="D10" s="70" t="s">
        <v>21</v>
      </c>
      <c r="E10" s="13" t="s">
        <v>14</v>
      </c>
      <c r="F10" s="13" t="s">
        <v>14</v>
      </c>
      <c r="G10" s="14">
        <v>1</v>
      </c>
      <c r="H10" s="12" t="s">
        <v>46</v>
      </c>
      <c r="I10" s="12" t="s">
        <v>47</v>
      </c>
      <c r="J10" s="12" t="s">
        <v>48</v>
      </c>
      <c r="K10" s="12" t="s">
        <v>415</v>
      </c>
      <c r="L10" s="12" t="s">
        <v>49</v>
      </c>
      <c r="M10" s="12" t="s">
        <v>50</v>
      </c>
      <c r="N10" s="12" t="s">
        <v>66</v>
      </c>
    </row>
    <row r="11" spans="1:14" ht="62.5">
      <c r="A11" s="11">
        <v>8</v>
      </c>
      <c r="B11" s="12" t="s">
        <v>51</v>
      </c>
      <c r="C11" s="7" t="s">
        <v>67</v>
      </c>
      <c r="D11" s="70" t="s">
        <v>21</v>
      </c>
      <c r="E11" s="13" t="s">
        <v>14</v>
      </c>
      <c r="F11" s="13" t="s">
        <v>14</v>
      </c>
      <c r="G11" s="14">
        <v>1</v>
      </c>
      <c r="H11" s="12" t="s">
        <v>52</v>
      </c>
      <c r="I11" s="12" t="s">
        <v>53</v>
      </c>
      <c r="J11" s="12" t="s">
        <v>54</v>
      </c>
      <c r="K11" s="12" t="s">
        <v>55</v>
      </c>
      <c r="L11" s="12" t="s">
        <v>56</v>
      </c>
      <c r="M11" s="12" t="s">
        <v>57</v>
      </c>
    </row>
    <row r="12" spans="1:14" ht="50">
      <c r="A12" s="11">
        <v>9</v>
      </c>
      <c r="B12" s="12" t="s">
        <v>58</v>
      </c>
      <c r="C12" s="7" t="s">
        <v>67</v>
      </c>
      <c r="D12" s="70" t="s">
        <v>21</v>
      </c>
      <c r="E12" s="13" t="s">
        <v>59</v>
      </c>
      <c r="F12" s="13" t="s">
        <v>14</v>
      </c>
      <c r="G12" s="14">
        <v>1</v>
      </c>
      <c r="H12" s="12" t="s">
        <v>60</v>
      </c>
      <c r="I12" s="12" t="s">
        <v>61</v>
      </c>
      <c r="J12" s="12" t="s">
        <v>62</v>
      </c>
      <c r="K12" s="12" t="s">
        <v>63</v>
      </c>
      <c r="L12" s="12" t="s">
        <v>64</v>
      </c>
      <c r="M12" s="12" t="s">
        <v>65</v>
      </c>
    </row>
  </sheetData>
  <conditionalFormatting sqref="C2:C12">
    <cfRule type="containsText" dxfId="100" priority="5" operator="containsText" text="Completed"/>
    <cfRule type="containsText" dxfId="99" priority="6" operator="containsText" text="In Progress"/>
    <cfRule type="containsText" dxfId="98" priority="7" operator="containsText" text="At Risk"/>
    <cfRule type="containsText" dxfId="97" priority="8" operator="containsText" text="Not Started"/>
  </conditionalFormatting>
  <conditionalFormatting sqref="D2:D4">
    <cfRule type="containsText" dxfId="96" priority="13" operator="containsText" text="Red"/>
    <cfRule type="containsText" dxfId="95" priority="14" operator="containsText" text="Amber"/>
    <cfRule type="containsText" dxfId="94" priority="15" operator="containsText" text="Green"/>
  </conditionalFormatting>
  <conditionalFormatting sqref="D5:D12">
    <cfRule type="containsText" dxfId="93" priority="1" operator="containsText" text="At Risk"/>
    <cfRule type="containsText" dxfId="92" priority="2" operator="containsText" text="Amber"/>
    <cfRule type="containsText" dxfId="91"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
  <sheetViews>
    <sheetView showGridLines="0" tabSelected="1" workbookViewId="0">
      <pane ySplit="1" topLeftCell="A2" activePane="bottomLeft" state="frozen"/>
      <selection pane="bottomLeft" activeCell="A2" sqref="A2"/>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29.5" thickBot="1">
      <c r="A1" s="3" t="s">
        <v>0</v>
      </c>
      <c r="B1" s="3" t="s">
        <v>1</v>
      </c>
      <c r="C1" s="3" t="s">
        <v>2</v>
      </c>
      <c r="D1" s="3" t="s">
        <v>3</v>
      </c>
      <c r="E1" s="3" t="s">
        <v>4</v>
      </c>
      <c r="F1" s="3" t="s">
        <v>347</v>
      </c>
      <c r="G1" s="3" t="s">
        <v>5</v>
      </c>
      <c r="H1" s="3" t="s">
        <v>6</v>
      </c>
      <c r="I1" s="3" t="s">
        <v>7</v>
      </c>
      <c r="J1" s="3" t="s">
        <v>8</v>
      </c>
      <c r="K1" s="3" t="s">
        <v>9</v>
      </c>
      <c r="L1" s="3" t="s">
        <v>10</v>
      </c>
      <c r="M1" s="3" t="s">
        <v>11</v>
      </c>
      <c r="N1" s="3" t="s">
        <v>12</v>
      </c>
    </row>
    <row r="2" spans="1:14" ht="203">
      <c r="A2" s="23">
        <v>1</v>
      </c>
      <c r="B2" s="24" t="s">
        <v>124</v>
      </c>
      <c r="C2" s="23" t="s">
        <v>428</v>
      </c>
      <c r="D2" s="97" t="s">
        <v>13</v>
      </c>
      <c r="E2" s="25" t="s">
        <v>14</v>
      </c>
      <c r="F2" s="26" t="s">
        <v>429</v>
      </c>
      <c r="G2" s="74">
        <v>0.8</v>
      </c>
      <c r="H2" s="24" t="s">
        <v>430</v>
      </c>
      <c r="I2" s="24" t="s">
        <v>431</v>
      </c>
      <c r="J2" s="24" t="s">
        <v>432</v>
      </c>
      <c r="K2" s="24" t="s">
        <v>433</v>
      </c>
      <c r="L2" s="24" t="s">
        <v>434</v>
      </c>
      <c r="M2" s="24" t="s">
        <v>435</v>
      </c>
      <c r="N2" s="75" t="s">
        <v>436</v>
      </c>
    </row>
    <row r="3" spans="1:14" ht="116">
      <c r="A3" s="27">
        <v>2</v>
      </c>
      <c r="B3" s="28" t="s">
        <v>125</v>
      </c>
      <c r="C3" s="27" t="s">
        <v>126</v>
      </c>
      <c r="D3" s="73" t="s">
        <v>21</v>
      </c>
      <c r="E3" s="29" t="s">
        <v>14</v>
      </c>
      <c r="F3" s="26" t="s">
        <v>14</v>
      </c>
      <c r="G3" s="76">
        <v>0.9</v>
      </c>
      <c r="H3" s="28" t="s">
        <v>127</v>
      </c>
      <c r="I3" s="28" t="s">
        <v>128</v>
      </c>
      <c r="J3" s="28" t="s">
        <v>129</v>
      </c>
      <c r="K3" s="28" t="s">
        <v>130</v>
      </c>
      <c r="L3" s="28" t="s">
        <v>131</v>
      </c>
      <c r="M3" s="28" t="s">
        <v>132</v>
      </c>
      <c r="N3" s="77" t="s">
        <v>133</v>
      </c>
    </row>
    <row r="4" spans="1:14" ht="246.5">
      <c r="A4" s="27">
        <v>3</v>
      </c>
      <c r="B4" s="28" t="s">
        <v>134</v>
      </c>
      <c r="C4" s="27" t="s">
        <v>437</v>
      </c>
      <c r="D4" s="97" t="s">
        <v>13</v>
      </c>
      <c r="E4" s="29" t="s">
        <v>438</v>
      </c>
      <c r="F4" s="30" t="s">
        <v>439</v>
      </c>
      <c r="G4" s="76">
        <v>0.7</v>
      </c>
      <c r="H4" s="28" t="s">
        <v>440</v>
      </c>
      <c r="I4" s="28" t="s">
        <v>441</v>
      </c>
      <c r="J4" s="28" t="s">
        <v>442</v>
      </c>
      <c r="K4" s="28" t="s">
        <v>443</v>
      </c>
      <c r="L4" s="28" t="s">
        <v>444</v>
      </c>
      <c r="M4" s="28" t="s">
        <v>445</v>
      </c>
      <c r="N4" s="78" t="s">
        <v>446</v>
      </c>
    </row>
    <row r="5" spans="1:14" ht="261">
      <c r="A5" s="27">
        <v>4</v>
      </c>
      <c r="B5" s="28" t="s">
        <v>135</v>
      </c>
      <c r="C5" s="27" t="s">
        <v>447</v>
      </c>
      <c r="D5" s="98" t="s">
        <v>13</v>
      </c>
      <c r="E5" s="29" t="s">
        <v>448</v>
      </c>
      <c r="F5" s="30" t="s">
        <v>449</v>
      </c>
      <c r="G5" s="76">
        <v>0.55000000000000004</v>
      </c>
      <c r="H5" s="28" t="s">
        <v>450</v>
      </c>
      <c r="I5" s="28" t="s">
        <v>451</v>
      </c>
      <c r="J5" s="28" t="s">
        <v>452</v>
      </c>
      <c r="K5" s="28" t="s">
        <v>453</v>
      </c>
      <c r="L5" s="28" t="s">
        <v>454</v>
      </c>
      <c r="M5" s="28" t="s">
        <v>455</v>
      </c>
      <c r="N5" s="77" t="s">
        <v>456</v>
      </c>
    </row>
    <row r="6" spans="1:14" ht="174">
      <c r="A6" s="27">
        <v>5</v>
      </c>
      <c r="B6" s="28" t="s">
        <v>136</v>
      </c>
      <c r="C6" s="27" t="s">
        <v>383</v>
      </c>
      <c r="D6" s="79" t="s">
        <v>13</v>
      </c>
      <c r="E6" s="29" t="s">
        <v>267</v>
      </c>
      <c r="F6" s="30" t="s">
        <v>384</v>
      </c>
      <c r="G6" s="76">
        <v>0.7</v>
      </c>
      <c r="H6" s="28" t="s">
        <v>385</v>
      </c>
      <c r="I6" s="28" t="s">
        <v>386</v>
      </c>
      <c r="J6" s="28" t="s">
        <v>387</v>
      </c>
      <c r="K6" s="28" t="s">
        <v>388</v>
      </c>
      <c r="L6" s="28" t="s">
        <v>389</v>
      </c>
      <c r="M6" s="28" t="s">
        <v>390</v>
      </c>
      <c r="N6" s="78" t="s">
        <v>391</v>
      </c>
    </row>
    <row r="7" spans="1:14" ht="72.5">
      <c r="A7" s="27">
        <v>6</v>
      </c>
      <c r="B7" s="28" t="s">
        <v>138</v>
      </c>
      <c r="C7" s="27" t="s">
        <v>67</v>
      </c>
      <c r="D7" s="73" t="s">
        <v>21</v>
      </c>
      <c r="E7" s="29">
        <v>46234</v>
      </c>
      <c r="F7" s="30" t="s">
        <v>292</v>
      </c>
      <c r="G7" s="76">
        <v>1</v>
      </c>
      <c r="H7" s="28" t="s">
        <v>139</v>
      </c>
      <c r="I7" s="28" t="s">
        <v>140</v>
      </c>
      <c r="J7" s="28" t="s">
        <v>141</v>
      </c>
      <c r="K7" s="28" t="s">
        <v>142</v>
      </c>
      <c r="L7" s="28" t="s">
        <v>143</v>
      </c>
      <c r="M7" s="28" t="s">
        <v>144</v>
      </c>
      <c r="N7" s="77" t="s">
        <v>137</v>
      </c>
    </row>
    <row r="8" spans="1:14" ht="116">
      <c r="A8" s="2">
        <v>7</v>
      </c>
      <c r="B8" s="28" t="s">
        <v>145</v>
      </c>
      <c r="C8" s="27" t="s">
        <v>392</v>
      </c>
      <c r="D8" s="97" t="s">
        <v>13</v>
      </c>
      <c r="E8" s="29">
        <v>46188</v>
      </c>
      <c r="F8" s="30" t="s">
        <v>393</v>
      </c>
      <c r="G8" s="76">
        <v>0.8</v>
      </c>
      <c r="H8" s="28" t="s">
        <v>394</v>
      </c>
      <c r="I8" s="28" t="s">
        <v>395</v>
      </c>
      <c r="J8" s="28" t="s">
        <v>396</v>
      </c>
      <c r="K8" s="28" t="s">
        <v>397</v>
      </c>
      <c r="L8" s="28" t="s">
        <v>398</v>
      </c>
      <c r="M8" s="28" t="s">
        <v>399</v>
      </c>
      <c r="N8" s="78" t="s">
        <v>400</v>
      </c>
    </row>
    <row r="9" spans="1:14" ht="188.5">
      <c r="A9" s="27">
        <v>8</v>
      </c>
      <c r="B9" s="28" t="s">
        <v>290</v>
      </c>
      <c r="C9" s="27" t="s">
        <v>401</v>
      </c>
      <c r="D9" s="79" t="s">
        <v>13</v>
      </c>
      <c r="E9" s="29" t="s">
        <v>291</v>
      </c>
      <c r="F9" s="30" t="s">
        <v>402</v>
      </c>
      <c r="G9" s="76">
        <v>0.7</v>
      </c>
      <c r="H9" s="28" t="s">
        <v>403</v>
      </c>
      <c r="I9" s="28" t="s">
        <v>404</v>
      </c>
      <c r="J9" s="28" t="s">
        <v>405</v>
      </c>
      <c r="K9" s="28" t="s">
        <v>406</v>
      </c>
      <c r="L9" s="28" t="s">
        <v>407</v>
      </c>
      <c r="M9" s="28" t="s">
        <v>408</v>
      </c>
      <c r="N9" s="80" t="s">
        <v>409</v>
      </c>
    </row>
    <row r="10" spans="1:14" ht="27.25" customHeight="1">
      <c r="A10" s="22">
        <v>9</v>
      </c>
      <c r="B10" s="99" t="s">
        <v>457</v>
      </c>
      <c r="C10" s="100" t="s">
        <v>664</v>
      </c>
      <c r="D10" s="97" t="s">
        <v>13</v>
      </c>
      <c r="E10" s="101" t="s">
        <v>459</v>
      </c>
      <c r="F10" s="76" t="s">
        <v>665</v>
      </c>
      <c r="G10" s="76">
        <v>0.3</v>
      </c>
      <c r="H10" s="99" t="s">
        <v>666</v>
      </c>
      <c r="I10" s="99" t="s">
        <v>667</v>
      </c>
      <c r="J10" s="99" t="s">
        <v>668</v>
      </c>
      <c r="K10" s="99" t="s">
        <v>669</v>
      </c>
      <c r="L10" s="99" t="s">
        <v>670</v>
      </c>
      <c r="M10" s="99" t="s">
        <v>671</v>
      </c>
      <c r="N10" s="102" t="s">
        <v>672</v>
      </c>
    </row>
    <row r="11" spans="1:14" ht="92" customHeight="1">
      <c r="A11" s="100">
        <v>10</v>
      </c>
      <c r="B11" s="99" t="s">
        <v>673</v>
      </c>
      <c r="C11" s="100" t="s">
        <v>674</v>
      </c>
      <c r="D11" s="98" t="s">
        <v>13</v>
      </c>
      <c r="E11" s="101" t="s">
        <v>675</v>
      </c>
      <c r="F11" s="76" t="s">
        <v>676</v>
      </c>
      <c r="G11" s="76">
        <v>0.2</v>
      </c>
      <c r="H11" s="99" t="s">
        <v>677</v>
      </c>
      <c r="I11" s="99" t="s">
        <v>678</v>
      </c>
      <c r="J11" s="99" t="s">
        <v>679</v>
      </c>
      <c r="K11" s="99" t="s">
        <v>680</v>
      </c>
      <c r="L11" s="99" t="s">
        <v>681</v>
      </c>
      <c r="M11" s="99" t="s">
        <v>682</v>
      </c>
      <c r="N11" s="114" t="s">
        <v>683</v>
      </c>
    </row>
  </sheetData>
  <conditionalFormatting sqref="C2">
    <cfRule type="containsText" dxfId="8" priority="5" operator="containsText" text="Completed"/>
    <cfRule type="containsText" dxfId="9" priority="6" operator="containsText" text="In Progress"/>
    <cfRule type="containsText" dxfId="7" priority="7" operator="containsText" text="At Risk"/>
    <cfRule type="containsText" dxfId="6" priority="8" operator="containsText" text="Not Started"/>
  </conditionalFormatting>
  <conditionalFormatting sqref="C2:C8">
    <cfRule type="containsText" dxfId="5" priority="11" operator="containsText" text="At Risk"/>
    <cfRule type="containsText" dxfId="4" priority="12" operator="containsText" text="Yellow"/>
    <cfRule type="containsText" dxfId="3" priority="13" operator="containsText" text="Validation Pending"/>
  </conditionalFormatting>
  <conditionalFormatting sqref="D2:D8">
    <cfRule type="containsText" dxfId="0" priority="1" operator="containsText" text="At Risk"/>
    <cfRule type="containsText" dxfId="2" priority="2" operator="containsText" text="Amber"/>
    <cfRule type="containsText" dxfId="1" priority="3"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4">
      <dataBar>
        <cfvo type="min"/>
        <cfvo type="max"/>
        <color rgb="FF5B9BD5"/>
      </dataBar>
    </cfRule>
    <cfRule type="dataBar" priority="16">
      <dataBar>
        <cfvo type="min"/>
        <cfvo type="max"/>
        <color rgb="FF5B9BD5"/>
      </dataBar>
    </cfRule>
    <cfRule type="dataBar" priority="18">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38">
      <dataBar>
        <cfvo type="min"/>
        <cfvo type="max"/>
        <color rgb="FF5B9BD5"/>
      </dataBar>
    </cfRule>
    <cfRule type="dataBar" priority="40">
      <dataBar>
        <cfvo type="min"/>
        <cfvo type="max"/>
        <color rgb="FF5B9BD5"/>
      </dataBar>
    </cfRule>
    <cfRule type="dataBar" priority="42">
      <dataBar>
        <cfvo type="min"/>
        <cfvo type="max"/>
        <color rgb="FF5B9BD5"/>
      </dataBar>
    </cfRule>
    <cfRule type="dataBar" priority="44">
      <dataBar>
        <cfvo type="min"/>
        <cfvo type="max"/>
        <color rgb="FF5B9BD5"/>
      </dataBar>
      <extLst>
        <ext xmlns:x14="http://schemas.microsoft.com/office/spreadsheetml/2009/9/main" uri="{B025F937-C7B1-47D3-B67F-A62EFF666E3E}">
          <x14:id>{F346AE5E-FC63-4611-BFE5-94A38AAB7673}</x14:id>
        </ext>
      </extLst>
    </cfRule>
  </conditionalFormatting>
  <conditionalFormatting sqref="F2:F8">
    <cfRule type="dataBar" priority="10">
      <dataBar>
        <cfvo type="min"/>
        <cfvo type="max"/>
        <color rgb="FF5B9BD5"/>
      </dataBar>
    </cfRule>
    <cfRule type="dataBar" priority="15">
      <dataBar>
        <cfvo type="min"/>
        <cfvo type="max"/>
        <color rgb="FF5B9BD5"/>
      </dataBar>
    </cfRule>
    <cfRule type="dataBar" priority="17">
      <dataBar>
        <cfvo type="min"/>
        <cfvo type="max"/>
        <color rgb="FF5B9BD5"/>
      </dataBar>
    </cfRule>
    <cfRule type="dataBar" priority="19">
      <dataBar>
        <cfvo type="min"/>
        <cfvo type="max"/>
        <color rgb="FF5B9BD5"/>
      </dataBar>
    </cfRule>
    <cfRule type="dataBar" priority="21">
      <dataBar>
        <cfvo type="min"/>
        <cfvo type="max"/>
        <color rgb="FF5B9BD5"/>
      </dataBar>
    </cfRule>
    <cfRule type="dataBar" priority="23">
      <dataBar>
        <cfvo type="min"/>
        <cfvo type="max"/>
        <color rgb="FF5B9BD5"/>
      </dataBar>
    </cfRule>
    <cfRule type="dataBar" priority="25">
      <dataBar>
        <cfvo type="min"/>
        <cfvo type="max"/>
        <color rgb="FF5B9BD5"/>
      </dataBar>
    </cfRule>
    <cfRule type="dataBar" priority="27">
      <dataBar>
        <cfvo type="min"/>
        <cfvo type="max"/>
        <color rgb="FF5B9BD5"/>
      </dataBar>
    </cfRule>
    <cfRule type="dataBar" priority="29">
      <dataBar>
        <cfvo type="min"/>
        <cfvo type="max"/>
        <color rgb="FF5B9BD5"/>
      </dataBar>
    </cfRule>
    <cfRule type="dataBar" priority="31">
      <dataBar>
        <cfvo type="min"/>
        <cfvo type="max"/>
        <color rgb="FF5B9BD5"/>
      </dataBar>
    </cfRule>
    <cfRule type="dataBar" priority="33">
      <dataBar>
        <cfvo type="min"/>
        <cfvo type="max"/>
        <color rgb="FF5B9BD5"/>
      </dataBar>
    </cfRule>
    <cfRule type="dataBar" priority="35">
      <dataBar>
        <cfvo type="min"/>
        <cfvo type="max"/>
        <color rgb="FF5B9BD5"/>
      </dataBar>
    </cfRule>
    <cfRule type="dataBar" priority="37">
      <dataBar>
        <cfvo type="min"/>
        <cfvo type="max"/>
        <color rgb="FF5B9BD5"/>
      </dataBar>
    </cfRule>
    <cfRule type="dataBar" priority="39">
      <dataBar>
        <cfvo type="min"/>
        <cfvo type="max"/>
        <color rgb="FF5B9BD5"/>
      </dataBar>
    </cfRule>
    <cfRule type="dataBar" priority="41">
      <dataBar>
        <cfvo type="min"/>
        <cfvo type="max"/>
        <color rgb="FF5B9BD5"/>
      </dataBar>
    </cfRule>
    <cfRule type="dataBar" priority="43">
      <dataBar>
        <cfvo type="min"/>
        <cfvo type="max"/>
        <color rgb="FF5B9BD5"/>
      </dataBar>
    </cfRule>
    <cfRule type="dataBar" priority="45">
      <dataBar>
        <cfvo type="min"/>
        <cfvo type="max"/>
        <color rgb="FF5B9BD5"/>
      </dataBar>
      <extLst>
        <ext xmlns:x14="http://schemas.microsoft.com/office/spreadsheetml/2009/9/main" uri="{B025F937-C7B1-47D3-B67F-A62EFF666E3E}">
          <x14:id>{BCF0047E-504A-4389-AAD5-9B414C7E9214}</x14:id>
        </ext>
      </extLst>
    </cfRule>
  </conditionalFormatting>
  <dataValidations count="4">
    <dataValidation type="list" sqref="C2" xr:uid="{046FE36A-1E1A-4F55-B7B8-07F97AB39CB5}">
      <formula1>"Not Started,Pending,In Progress,Ongoing,At Risk,On Hold,Completed,Roadmap,Readiness,Evaluation"</formula1>
    </dataValidation>
    <dataValidation type="decimal" sqref="F2:F7" xr:uid="{A628881A-D2AE-4309-B441-947013394ADB}">
      <formula1>0</formula1>
      <formula2>1</formula2>
    </dataValidation>
    <dataValidation type="list" sqref="D2:D8" xr:uid="{B18DF2F0-709B-4627-9F00-748E1EA0600C}">
      <formula1>"Red,Amber,Green"</formula1>
    </dataValidation>
    <dataValidation type="list" sqref="C2:C5" xr:uid="{3AA6362E-2B38-4C51-8701-CB6B8C97B438}">
      <formula1>"Not Started,In Progress,At Risk / In Progress,At Risk / Support Needed,Validation Pending,Yellow – Testing Progressing,On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346AE5E-FC63-4611-BFE5-94A38AAB7673}">
            <x14:dataBar>
              <x14:cfvo type="min"/>
              <x14:cfvo type="max"/>
              <x14:negativeFillColor auto="1"/>
              <x14:axisColor auto="1"/>
            </x14:dataBar>
          </x14:cfRule>
          <xm:sqref>F2:F3</xm:sqref>
        </x14:conditionalFormatting>
        <x14:conditionalFormatting xmlns:xm="http://schemas.microsoft.com/office/excel/2006/main">
          <x14:cfRule type="dataBar" id="{BCF0047E-504A-4389-AAD5-9B414C7E9214}">
            <x14:dataBar>
              <x14:cfvo type="min"/>
              <x14:cfvo type="max"/>
              <x14:negativeFillColor auto="1"/>
              <x14:axisColor auto="1"/>
            </x14:dataBar>
          </x14:cfRule>
          <xm:sqref>F2:F8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4" activePane="bottomLeft" state="frozen"/>
      <selection pane="bottomLeft" activeCell="B4" sqref="B4"/>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12" t="s">
        <v>316</v>
      </c>
      <c r="B1" s="112"/>
      <c r="C1" s="112"/>
      <c r="D1" s="112"/>
      <c r="E1" s="112"/>
      <c r="F1" s="112"/>
      <c r="G1" s="112"/>
      <c r="H1" s="112"/>
      <c r="I1" s="112"/>
      <c r="J1" s="112"/>
      <c r="K1" s="112"/>
      <c r="L1" s="112"/>
      <c r="M1" s="112"/>
      <c r="N1" s="38"/>
    </row>
    <row r="2" spans="1:14" ht="46" customHeight="1">
      <c r="A2" s="113" t="s">
        <v>317</v>
      </c>
      <c r="B2" s="113"/>
      <c r="C2" s="113"/>
      <c r="D2" s="113"/>
      <c r="E2" s="113"/>
      <c r="F2" s="113"/>
      <c r="G2" s="113"/>
      <c r="H2" s="113"/>
      <c r="I2" s="113"/>
      <c r="J2" s="113"/>
      <c r="K2" s="113"/>
      <c r="L2" s="113"/>
      <c r="M2" s="113"/>
      <c r="N2" s="39"/>
    </row>
    <row r="3" spans="1:14" ht="46" customHeight="1">
      <c r="A3" s="40" t="s">
        <v>0</v>
      </c>
      <c r="B3" s="41" t="s">
        <v>1</v>
      </c>
      <c r="C3" s="41" t="s">
        <v>2</v>
      </c>
      <c r="D3" s="41" t="s">
        <v>3</v>
      </c>
      <c r="E3" s="41" t="s">
        <v>4</v>
      </c>
      <c r="F3" s="41" t="s">
        <v>347</v>
      </c>
      <c r="G3" s="41" t="s">
        <v>5</v>
      </c>
      <c r="H3" s="42" t="s">
        <v>6</v>
      </c>
      <c r="I3" s="42" t="s">
        <v>7</v>
      </c>
      <c r="J3" s="42" t="s">
        <v>8</v>
      </c>
      <c r="K3" s="42" t="s">
        <v>318</v>
      </c>
      <c r="L3" s="42" t="s">
        <v>10</v>
      </c>
      <c r="M3" s="43" t="s">
        <v>11</v>
      </c>
      <c r="N3" s="44" t="s">
        <v>12</v>
      </c>
    </row>
    <row r="4" spans="1:14" ht="24">
      <c r="A4" s="45">
        <v>1</v>
      </c>
      <c r="B4" s="45" t="s">
        <v>70</v>
      </c>
      <c r="C4" s="46" t="s">
        <v>420</v>
      </c>
      <c r="D4" s="46" t="s">
        <v>21</v>
      </c>
      <c r="E4" s="47" t="s">
        <v>14</v>
      </c>
      <c r="F4" s="47" t="s">
        <v>14</v>
      </c>
      <c r="G4" s="48">
        <v>1</v>
      </c>
      <c r="H4" s="49" t="s">
        <v>67</v>
      </c>
      <c r="I4" s="49" t="s">
        <v>71</v>
      </c>
      <c r="J4" s="49" t="s">
        <v>72</v>
      </c>
      <c r="K4" s="50" t="s">
        <v>73</v>
      </c>
      <c r="L4" s="51" t="s">
        <v>74</v>
      </c>
      <c r="M4" s="51" t="s">
        <v>75</v>
      </c>
      <c r="N4" s="2" t="s">
        <v>15</v>
      </c>
    </row>
    <row r="5" spans="1:14" ht="46" customHeight="1">
      <c r="A5" s="52">
        <v>2</v>
      </c>
      <c r="B5" s="52" t="s">
        <v>76</v>
      </c>
      <c r="C5" s="46" t="s">
        <v>421</v>
      </c>
      <c r="D5" s="46" t="s">
        <v>21</v>
      </c>
      <c r="E5" s="53" t="s">
        <v>14</v>
      </c>
      <c r="F5" s="53" t="s">
        <v>14</v>
      </c>
      <c r="G5" s="48">
        <v>1</v>
      </c>
      <c r="H5" s="54" t="s">
        <v>67</v>
      </c>
      <c r="I5" s="54" t="s">
        <v>77</v>
      </c>
      <c r="J5" s="54" t="s">
        <v>78</v>
      </c>
      <c r="K5" s="55" t="s">
        <v>73</v>
      </c>
      <c r="L5" s="56" t="s">
        <v>74</v>
      </c>
      <c r="M5" s="56" t="s">
        <v>79</v>
      </c>
      <c r="N5" s="2" t="s">
        <v>15</v>
      </c>
    </row>
    <row r="6" spans="1:14" ht="84">
      <c r="A6" s="45">
        <v>3</v>
      </c>
      <c r="B6" s="45" t="s">
        <v>80</v>
      </c>
      <c r="C6" s="46" t="s">
        <v>422</v>
      </c>
      <c r="D6" s="46" t="s">
        <v>21</v>
      </c>
      <c r="E6" s="47" t="s">
        <v>14</v>
      </c>
      <c r="F6" s="47" t="s">
        <v>14</v>
      </c>
      <c r="G6" s="48">
        <v>1</v>
      </c>
      <c r="H6" s="57" t="s">
        <v>81</v>
      </c>
      <c r="I6" s="57" t="s">
        <v>319</v>
      </c>
      <c r="J6" s="57" t="s">
        <v>82</v>
      </c>
      <c r="K6" s="58" t="s">
        <v>73</v>
      </c>
      <c r="L6" s="59" t="s">
        <v>83</v>
      </c>
      <c r="M6" s="59" t="s">
        <v>84</v>
      </c>
      <c r="N6" s="2" t="e" vm="1">
        <f ca="1">_xlfn.DISPIMG("ID_BFCB287FF50949ACB47F716BD1E40440",1)</f>
        <v>#NAME?</v>
      </c>
    </row>
    <row r="7" spans="1:14" ht="24">
      <c r="A7" s="45">
        <v>4</v>
      </c>
      <c r="B7" s="45" t="s">
        <v>85</v>
      </c>
      <c r="C7" s="46" t="s">
        <v>423</v>
      </c>
      <c r="D7" s="46" t="s">
        <v>21</v>
      </c>
      <c r="E7" s="47" t="s">
        <v>14</v>
      </c>
      <c r="F7" s="47" t="s">
        <v>14</v>
      </c>
      <c r="G7" s="48">
        <v>1</v>
      </c>
      <c r="H7" s="57" t="s">
        <v>67</v>
      </c>
      <c r="I7" s="57" t="s">
        <v>86</v>
      </c>
      <c r="J7" s="57" t="s">
        <v>87</v>
      </c>
      <c r="K7" s="58" t="s">
        <v>88</v>
      </c>
      <c r="L7" s="59" t="s">
        <v>320</v>
      </c>
      <c r="M7" s="59" t="s">
        <v>89</v>
      </c>
      <c r="N7" t="s">
        <v>90</v>
      </c>
    </row>
    <row r="8" spans="1:14" ht="84">
      <c r="A8" s="45">
        <v>5</v>
      </c>
      <c r="B8" s="45" t="s">
        <v>91</v>
      </c>
      <c r="C8" s="46" t="s">
        <v>424</v>
      </c>
      <c r="D8" s="46" t="s">
        <v>21</v>
      </c>
      <c r="E8" s="47" t="s">
        <v>14</v>
      </c>
      <c r="F8" s="47" t="s">
        <v>14</v>
      </c>
      <c r="G8" s="48">
        <v>0.2</v>
      </c>
      <c r="H8" s="57" t="s">
        <v>17</v>
      </c>
      <c r="I8" s="60" t="s">
        <v>425</v>
      </c>
      <c r="J8" s="57" t="s">
        <v>426</v>
      </c>
      <c r="K8" s="58" t="s">
        <v>88</v>
      </c>
      <c r="L8" s="59" t="s">
        <v>427</v>
      </c>
      <c r="M8" s="59" t="s">
        <v>92</v>
      </c>
    </row>
  </sheetData>
  <mergeCells count="2">
    <mergeCell ref="A1:M1"/>
    <mergeCell ref="A2:M2"/>
  </mergeCells>
  <conditionalFormatting sqref="C4:D7">
    <cfRule type="expression" dxfId="72" priority="11">
      <formula>OR(ISNUMBER(SEARCH("At Risk",C4)),ISNUMBER(SEARCH("Security Risk",C4)),ISNUMBER(SEARCH("Blocked",C4)))</formula>
    </cfRule>
    <cfRule type="expression" dxfId="71" priority="12">
      <formula>OR(ISNUMBER(SEARCH("Green",C4)),ISNUMBER(SEARCH("Completed",C4)))</formula>
    </cfRule>
    <cfRule type="expression" dxfId="70" priority="13">
      <formula>AND(C4&lt;&gt;"",NOT(OR(ISNUMBER(SEARCH("At Risk",C4)),ISNUMBER(SEARCH("Security Risk",C4)),ISNUMBER(SEARCH("Blocked",C4)),ISNUMBER(SEARCH("Green",C4)),ISNUMBER(SEARCH("Completed",C4)))))</formula>
    </cfRule>
  </conditionalFormatting>
  <conditionalFormatting sqref="C8:D8">
    <cfRule type="expression" dxfId="69" priority="1">
      <formula>OR(ISNUMBER(SEARCH("At Risk",C8)),ISNUMBER(SEARCH("Security Risk",C8)),ISNUMBER(SEARCH("Blocked",C8)))</formula>
    </cfRule>
    <cfRule type="expression" dxfId="68" priority="2">
      <formula>OR(ISNUMBER(SEARCH("Green",C8)),ISNUMBER(SEARCH("Completed",C8)))</formula>
    </cfRule>
    <cfRule type="expression" dxfId="67" priority="3">
      <formula>AND(C8&lt;&gt;"",NOT(OR(ISNUMBER(SEARCH("At Risk",C8)),ISNUMBER(SEARCH("Security Risk",C8)),ISNUMBER(SEARCH("Blocked",C8)),ISNUMBER(SEARCH("Green",C8)),ISNUMBER(SEARCH("Completed",C8)))))</formula>
    </cfRule>
  </conditionalFormatting>
  <conditionalFormatting sqref="H4:H7">
    <cfRule type="containsText" dxfId="66" priority="14" operator="containsText" text="Completed">
      <formula>NOT(ISERROR(SEARCH("Completed",H4)))</formula>
    </cfRule>
    <cfRule type="containsText" dxfId="65" priority="15" operator="containsText" text="In Progress">
      <formula>NOT(ISERROR(SEARCH("In Progress",H4)))</formula>
    </cfRule>
    <cfRule type="containsText" dxfId="64" priority="16" operator="containsText" text="At Risk">
      <formula>NOT(ISERROR(SEARCH("At Risk",H4)))</formula>
    </cfRule>
    <cfRule type="containsText" dxfId="63" priority="17" operator="containsText" text="Blocked">
      <formula>NOT(ISERROR(SEARCH("Blocked",H4)))</formula>
    </cfRule>
    <cfRule type="containsText" dxfId="62" priority="18" operator="containsText" text="Not Started">
      <formula>NOT(ISERROR(SEARCH("Not Started",H4)))</formula>
    </cfRule>
  </conditionalFormatting>
  <conditionalFormatting sqref="H8">
    <cfRule type="containsText" dxfId="61" priority="4" operator="containsText" text="Completed">
      <formula>NOT(ISERROR(SEARCH("Completed",H8)))</formula>
    </cfRule>
    <cfRule type="containsText" dxfId="60" priority="5" operator="containsText" text="In Progress">
      <formula>NOT(ISERROR(SEARCH("In Progress",H8)))</formula>
    </cfRule>
    <cfRule type="containsText" dxfId="59" priority="6" operator="containsText" text="At Risk">
      <formula>NOT(ISERROR(SEARCH("At Risk",H8)))</formula>
    </cfRule>
    <cfRule type="containsText" dxfId="58" priority="7" operator="containsText" text="Blocked">
      <formula>NOT(ISERROR(SEARCH("Blocked",H8)))</formula>
    </cfRule>
    <cfRule type="containsText" dxfId="57"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{B1420BE1-ADE0-41B4-8216-F1DFB29B7953}</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{DFF4E5B4-4A5C-4BD4-AE20-D01305B5BDA0}</x14:id>
        </ext>
      </extLst>
    </cfRule>
  </conditionalFormatting>
  <dataValidations count="1">
    <dataValidation type="list" sqref="H4:H8" xr:uid="{27298AD5-6882-4CED-A86B-A258DB36D8EF}">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420BE1-ADE0-41B4-8216-F1DFB29B7953}">
            <x14:dataBar>
              <x14:cfvo type="min"/>
              <x14:cfvo type="max"/>
              <x14:negativeFillColor auto="1"/>
              <x14:axisColor auto="1"/>
            </x14:dataBar>
          </x14:cfRule>
          <xm:sqref>K4:K7</xm:sqref>
        </x14:conditionalFormatting>
        <x14:conditionalFormatting xmlns:xm="http://schemas.microsoft.com/office/excel/2006/main">
          <x14:cfRule type="dataBar" id="{DFF4E5B4-4A5C-4BD4-AE20-D01305B5BDA0}">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1"/>
  <sheetViews>
    <sheetView showGridLines="0" workbookViewId="0">
      <pane ySplit="1" topLeftCell="A2" activePane="bottomLeft" state="frozen"/>
      <selection pane="bottomLeft" activeCell="B1" sqref="B1"/>
    </sheetView>
  </sheetViews>
  <sheetFormatPr defaultColWidth="8.7265625" defaultRowHeight="14.5"/>
  <cols>
    <col min="1" max="1" width="6" style="21" customWidth="1"/>
    <col min="2" max="2" width="35" style="21" customWidth="1"/>
    <col min="3" max="4" width="22" style="21" customWidth="1"/>
    <col min="5" max="5" width="14" style="21" customWidth="1"/>
    <col min="6" max="6" width="15.36328125" style="21" customWidth="1"/>
    <col min="7" max="7" width="16" style="21" customWidth="1"/>
    <col min="8" max="8" width="38" style="21" customWidth="1"/>
    <col min="9" max="10" width="54" style="21" customWidth="1"/>
    <col min="11" max="11" width="29" style="21" customWidth="1"/>
    <col min="12" max="12" width="38" style="21" customWidth="1"/>
    <col min="13" max="13" width="36" style="21" customWidth="1"/>
    <col min="14" max="14" width="30" style="21" customWidth="1"/>
    <col min="15" max="16384" width="8.7265625" style="21"/>
  </cols>
  <sheetData>
    <row r="1" spans="1:14" ht="34" customHeight="1">
      <c r="A1" s="85" t="s">
        <v>0</v>
      </c>
      <c r="B1" s="86" t="s">
        <v>1</v>
      </c>
      <c r="C1" s="86" t="s">
        <v>2</v>
      </c>
      <c r="D1" s="86" t="s">
        <v>3</v>
      </c>
      <c r="E1" s="86" t="s">
        <v>4</v>
      </c>
      <c r="F1" s="86" t="s">
        <v>347</v>
      </c>
      <c r="G1" s="86" t="s">
        <v>5</v>
      </c>
      <c r="H1" s="86" t="s">
        <v>6</v>
      </c>
      <c r="I1" s="86" t="s">
        <v>7</v>
      </c>
      <c r="J1" s="86" t="s">
        <v>8</v>
      </c>
      <c r="K1" s="86" t="s">
        <v>9</v>
      </c>
      <c r="L1" s="86" t="s">
        <v>10</v>
      </c>
      <c r="M1" s="86" t="s">
        <v>11</v>
      </c>
      <c r="N1" s="87" t="s">
        <v>12</v>
      </c>
    </row>
    <row r="2" spans="1:14" ht="87">
      <c r="A2" s="88">
        <v>1</v>
      </c>
      <c r="B2" s="89" t="s">
        <v>93</v>
      </c>
      <c r="C2" s="88" t="s">
        <v>17</v>
      </c>
      <c r="D2" s="90" t="s">
        <v>21</v>
      </c>
      <c r="E2" s="88" t="s">
        <v>14</v>
      </c>
      <c r="F2" s="88" t="s">
        <v>14</v>
      </c>
      <c r="G2" s="91">
        <v>0.75</v>
      </c>
      <c r="H2" s="89" t="s">
        <v>94</v>
      </c>
      <c r="I2" s="89" t="s">
        <v>354</v>
      </c>
      <c r="J2" s="89" t="s">
        <v>355</v>
      </c>
      <c r="K2" s="89" t="s">
        <v>95</v>
      </c>
      <c r="L2" s="89" t="s">
        <v>356</v>
      </c>
      <c r="M2" s="89" t="s">
        <v>357</v>
      </c>
      <c r="N2" s="89" t="s">
        <v>358</v>
      </c>
    </row>
    <row r="3" spans="1:14" ht="43.5">
      <c r="A3" s="92">
        <v>2</v>
      </c>
      <c r="B3" s="93" t="s">
        <v>96</v>
      </c>
      <c r="C3" s="92" t="s">
        <v>17</v>
      </c>
      <c r="D3" s="90" t="s">
        <v>21</v>
      </c>
      <c r="E3" s="92" t="s">
        <v>14</v>
      </c>
      <c r="F3" s="92" t="s">
        <v>97</v>
      </c>
      <c r="G3" s="94">
        <v>0.74</v>
      </c>
      <c r="H3" s="93" t="s">
        <v>98</v>
      </c>
      <c r="I3" s="93" t="s">
        <v>359</v>
      </c>
      <c r="J3" s="93" t="s">
        <v>360</v>
      </c>
      <c r="K3" s="93" t="s">
        <v>95</v>
      </c>
      <c r="L3" s="93" t="s">
        <v>361</v>
      </c>
      <c r="M3" s="93" t="s">
        <v>362</v>
      </c>
      <c r="N3" s="93" t="s">
        <v>363</v>
      </c>
    </row>
    <row r="4" spans="1:14" ht="43.5">
      <c r="A4" s="88">
        <v>3</v>
      </c>
      <c r="B4" s="89" t="s">
        <v>99</v>
      </c>
      <c r="C4" s="88" t="s">
        <v>17</v>
      </c>
      <c r="D4" s="90" t="s">
        <v>21</v>
      </c>
      <c r="E4" s="88" t="s">
        <v>14</v>
      </c>
      <c r="F4" s="88" t="s">
        <v>14</v>
      </c>
      <c r="G4" s="91">
        <v>0.13</v>
      </c>
      <c r="H4" s="89" t="s">
        <v>100</v>
      </c>
      <c r="I4" s="89" t="s">
        <v>281</v>
      </c>
      <c r="J4" s="89" t="s">
        <v>282</v>
      </c>
      <c r="K4" s="89" t="s">
        <v>101</v>
      </c>
      <c r="L4" s="89" t="s">
        <v>283</v>
      </c>
      <c r="M4" s="89" t="s">
        <v>284</v>
      </c>
      <c r="N4" s="89" t="s">
        <v>285</v>
      </c>
    </row>
    <row r="5" spans="1:14" ht="58">
      <c r="A5" s="92">
        <v>4</v>
      </c>
      <c r="B5" s="93" t="s">
        <v>102</v>
      </c>
      <c r="C5" s="92" t="s">
        <v>17</v>
      </c>
      <c r="D5" s="90" t="s">
        <v>21</v>
      </c>
      <c r="E5" s="92" t="s">
        <v>14</v>
      </c>
      <c r="F5" s="92" t="s">
        <v>103</v>
      </c>
      <c r="G5" s="94">
        <v>0.55000000000000004</v>
      </c>
      <c r="H5" s="93" t="s">
        <v>104</v>
      </c>
      <c r="I5" s="93" t="s">
        <v>286</v>
      </c>
      <c r="J5" s="93" t="s">
        <v>287</v>
      </c>
      <c r="K5" s="93" t="s">
        <v>95</v>
      </c>
      <c r="L5" s="93" t="s">
        <v>105</v>
      </c>
      <c r="M5" s="93" t="s">
        <v>288</v>
      </c>
      <c r="N5" s="93" t="s">
        <v>289</v>
      </c>
    </row>
    <row r="6" spans="1:14" ht="72.5">
      <c r="A6" s="88">
        <v>5</v>
      </c>
      <c r="B6" s="89" t="s">
        <v>106</v>
      </c>
      <c r="C6" s="88" t="s">
        <v>17</v>
      </c>
      <c r="D6" s="90" t="s">
        <v>21</v>
      </c>
      <c r="E6" s="88" t="s">
        <v>14</v>
      </c>
      <c r="F6" s="88" t="s">
        <v>107</v>
      </c>
      <c r="G6" s="91">
        <v>0.8</v>
      </c>
      <c r="H6" s="89" t="s">
        <v>108</v>
      </c>
      <c r="I6" s="89" t="s">
        <v>364</v>
      </c>
      <c r="J6" s="89" t="s">
        <v>365</v>
      </c>
      <c r="K6" s="89" t="s">
        <v>101</v>
      </c>
      <c r="L6" s="89" t="s">
        <v>366</v>
      </c>
      <c r="M6" s="89" t="s">
        <v>367</v>
      </c>
      <c r="N6" s="89" t="s">
        <v>368</v>
      </c>
    </row>
    <row r="7" spans="1:14" ht="29">
      <c r="A7" s="92">
        <v>6</v>
      </c>
      <c r="B7" s="93" t="s">
        <v>109</v>
      </c>
      <c r="C7" s="92" t="s">
        <v>17</v>
      </c>
      <c r="D7" s="90" t="s">
        <v>21</v>
      </c>
      <c r="E7" s="92" t="s">
        <v>14</v>
      </c>
      <c r="F7" s="92" t="s">
        <v>110</v>
      </c>
      <c r="G7" s="94">
        <v>0.5</v>
      </c>
      <c r="H7" s="93" t="s">
        <v>111</v>
      </c>
      <c r="I7" s="93" t="s">
        <v>112</v>
      </c>
      <c r="J7" s="93" t="s">
        <v>113</v>
      </c>
      <c r="K7" s="93" t="s">
        <v>95</v>
      </c>
      <c r="L7" s="93" t="s">
        <v>114</v>
      </c>
      <c r="M7" s="93" t="s">
        <v>115</v>
      </c>
      <c r="N7" s="93" t="s">
        <v>116</v>
      </c>
    </row>
    <row r="8" spans="1:14" ht="29">
      <c r="A8" s="88">
        <v>7</v>
      </c>
      <c r="B8" s="89" t="s">
        <v>117</v>
      </c>
      <c r="C8" s="88" t="s">
        <v>17</v>
      </c>
      <c r="D8" s="90" t="s">
        <v>21</v>
      </c>
      <c r="E8" s="88" t="s">
        <v>14</v>
      </c>
      <c r="F8" s="88" t="s">
        <v>14</v>
      </c>
      <c r="G8" s="91">
        <v>0.8</v>
      </c>
      <c r="H8" s="89" t="s">
        <v>118</v>
      </c>
      <c r="I8" s="89" t="s">
        <v>119</v>
      </c>
      <c r="J8" s="89" t="s">
        <v>120</v>
      </c>
      <c r="K8" s="89" t="s">
        <v>101</v>
      </c>
      <c r="L8" s="89" t="s">
        <v>121</v>
      </c>
      <c r="M8" s="89" t="s">
        <v>122</v>
      </c>
      <c r="N8" s="89" t="s">
        <v>123</v>
      </c>
    </row>
    <row r="9" spans="1:14" ht="72.5">
      <c r="A9" s="92">
        <v>8</v>
      </c>
      <c r="B9" s="93" t="s">
        <v>369</v>
      </c>
      <c r="C9" s="92" t="s">
        <v>17</v>
      </c>
      <c r="D9" s="90" t="s">
        <v>21</v>
      </c>
      <c r="E9" s="92" t="s">
        <v>14</v>
      </c>
      <c r="F9" s="92" t="s">
        <v>14</v>
      </c>
      <c r="G9" s="94">
        <v>0.3</v>
      </c>
      <c r="H9" s="93" t="s">
        <v>370</v>
      </c>
      <c r="I9" s="93" t="s">
        <v>371</v>
      </c>
      <c r="J9" s="93" t="s">
        <v>372</v>
      </c>
      <c r="K9" s="93" t="s">
        <v>95</v>
      </c>
      <c r="L9" s="93" t="s">
        <v>373</v>
      </c>
      <c r="M9" s="93" t="s">
        <v>374</v>
      </c>
      <c r="N9" s="93" t="s">
        <v>375</v>
      </c>
    </row>
    <row r="10" spans="1:14" ht="87">
      <c r="A10" s="88">
        <v>9</v>
      </c>
      <c r="B10" s="89" t="s">
        <v>376</v>
      </c>
      <c r="C10" s="88" t="s">
        <v>17</v>
      </c>
      <c r="D10" s="90" t="s">
        <v>21</v>
      </c>
      <c r="E10" s="88" t="s">
        <v>14</v>
      </c>
      <c r="F10" s="88" t="s">
        <v>14</v>
      </c>
      <c r="G10" s="91">
        <v>0.2</v>
      </c>
      <c r="H10" s="89" t="s">
        <v>377</v>
      </c>
      <c r="I10" s="89" t="s">
        <v>378</v>
      </c>
      <c r="J10" s="89" t="s">
        <v>379</v>
      </c>
      <c r="K10" s="89" t="s">
        <v>101</v>
      </c>
      <c r="L10" s="89" t="s">
        <v>380</v>
      </c>
      <c r="M10" s="89" t="s">
        <v>381</v>
      </c>
      <c r="N10" s="89" t="s">
        <v>382</v>
      </c>
    </row>
    <row r="11" spans="1:14">
      <c r="A11" s="95"/>
      <c r="B11" s="95"/>
      <c r="C11" s="95"/>
      <c r="D11" s="95"/>
      <c r="E11" s="95"/>
      <c r="F11" s="95"/>
      <c r="G11" s="95"/>
      <c r="H11" s="95"/>
      <c r="I11" s="95"/>
      <c r="J11" s="95"/>
      <c r="K11" s="95"/>
      <c r="L11" s="95"/>
      <c r="M11" s="95"/>
      <c r="N11" s="95"/>
    </row>
    <row r="12" spans="1:14">
      <c r="A12" s="96"/>
      <c r="B12" s="96"/>
      <c r="C12" s="96"/>
      <c r="D12" s="96"/>
      <c r="E12" s="96"/>
      <c r="F12" s="96"/>
      <c r="G12" s="96"/>
      <c r="H12" s="96"/>
      <c r="I12" s="96"/>
      <c r="J12" s="96"/>
      <c r="K12" s="96"/>
      <c r="L12" s="96"/>
      <c r="M12" s="96"/>
      <c r="N12" s="96"/>
    </row>
    <row r="13" spans="1:14">
      <c r="A13" s="96"/>
      <c r="B13" s="96"/>
      <c r="C13" s="96"/>
      <c r="D13" s="96"/>
      <c r="E13" s="96"/>
      <c r="F13" s="96"/>
      <c r="G13" s="96"/>
      <c r="H13" s="96"/>
      <c r="I13" s="96"/>
      <c r="J13" s="96"/>
      <c r="K13" s="96"/>
      <c r="L13" s="96"/>
      <c r="M13" s="96"/>
      <c r="N13" s="96"/>
    </row>
    <row r="14" spans="1:14">
      <c r="A14" s="96"/>
      <c r="B14" s="96"/>
      <c r="C14" s="96"/>
      <c r="D14" s="96"/>
      <c r="E14" s="96"/>
      <c r="F14" s="96"/>
      <c r="G14" s="96"/>
      <c r="H14" s="96"/>
      <c r="I14" s="96"/>
      <c r="J14" s="96"/>
      <c r="K14" s="96"/>
      <c r="L14" s="96"/>
      <c r="M14" s="96"/>
      <c r="N14" s="96"/>
    </row>
    <row r="15" spans="1:14">
      <c r="A15" s="96"/>
      <c r="B15" s="96"/>
      <c r="C15" s="96"/>
      <c r="D15" s="96"/>
      <c r="E15" s="96"/>
      <c r="F15" s="96"/>
      <c r="G15" s="96"/>
      <c r="H15" s="96"/>
      <c r="I15" s="96"/>
      <c r="J15" s="96"/>
      <c r="K15" s="96"/>
      <c r="L15" s="96"/>
      <c r="M15" s="96"/>
      <c r="N15" s="96"/>
    </row>
    <row r="16" spans="1:14">
      <c r="A16" s="96"/>
      <c r="B16" s="96"/>
      <c r="C16" s="96"/>
      <c r="D16" s="96"/>
      <c r="E16" s="96"/>
      <c r="F16" s="96"/>
      <c r="G16" s="96"/>
      <c r="H16" s="96"/>
      <c r="I16" s="96"/>
      <c r="J16" s="96"/>
      <c r="K16" s="96"/>
      <c r="L16" s="96"/>
      <c r="M16" s="96"/>
      <c r="N16" s="96"/>
    </row>
    <row r="17" spans="1:14">
      <c r="A17" s="96"/>
      <c r="B17" s="96"/>
      <c r="C17" s="96"/>
      <c r="D17" s="96"/>
      <c r="E17" s="96"/>
      <c r="F17" s="96"/>
      <c r="G17" s="96"/>
      <c r="H17" s="96"/>
      <c r="I17" s="96"/>
      <c r="J17" s="96"/>
      <c r="K17" s="96"/>
      <c r="L17" s="96"/>
      <c r="M17" s="96"/>
      <c r="N17" s="96"/>
    </row>
    <row r="18" spans="1:14">
      <c r="A18" s="96"/>
      <c r="B18" s="96"/>
      <c r="C18" s="96"/>
      <c r="D18" s="96"/>
      <c r="E18" s="96"/>
      <c r="F18" s="96"/>
      <c r="G18" s="96"/>
      <c r="H18" s="96"/>
      <c r="I18" s="96"/>
      <c r="J18" s="96"/>
      <c r="K18" s="96"/>
      <c r="L18" s="96"/>
      <c r="M18" s="96"/>
      <c r="N18" s="96"/>
    </row>
    <row r="19" spans="1:14">
      <c r="A19" s="96"/>
      <c r="B19" s="96"/>
      <c r="C19" s="96"/>
      <c r="D19" s="96"/>
      <c r="E19" s="96"/>
      <c r="F19" s="96"/>
      <c r="G19" s="96"/>
      <c r="H19" s="96"/>
      <c r="I19" s="96"/>
      <c r="J19" s="96"/>
      <c r="K19" s="96"/>
      <c r="L19" s="96"/>
      <c r="M19" s="96"/>
      <c r="N19" s="96"/>
    </row>
    <row r="20" spans="1:14">
      <c r="A20" s="96"/>
      <c r="B20" s="96"/>
      <c r="C20" s="96"/>
      <c r="D20" s="96"/>
      <c r="E20" s="96"/>
      <c r="F20" s="96"/>
      <c r="G20" s="96"/>
      <c r="H20" s="96"/>
      <c r="I20" s="96"/>
      <c r="J20" s="96"/>
      <c r="K20" s="96"/>
      <c r="L20" s="96"/>
      <c r="M20" s="96"/>
      <c r="N20" s="96"/>
    </row>
    <row r="21" spans="1:14">
      <c r="A21" s="96"/>
      <c r="B21" s="96"/>
      <c r="C21" s="96"/>
      <c r="D21" s="96"/>
      <c r="E21" s="96"/>
      <c r="F21" s="96"/>
      <c r="G21" s="96"/>
      <c r="H21" s="96"/>
      <c r="I21" s="96"/>
      <c r="J21" s="96"/>
      <c r="K21" s="96"/>
      <c r="L21" s="96"/>
      <c r="M21" s="96"/>
      <c r="N21" s="96"/>
    </row>
  </sheetData>
  <conditionalFormatting sqref="C2:C10">
    <cfRule type="containsText" dxfId="56" priority="2" operator="containsText" text="Completed"/>
    <cfRule type="containsText" dxfId="55" priority="3" operator="containsText" text="In Progress"/>
    <cfRule type="containsText" dxfId="54" priority="4" operator="containsText" text="At Risk"/>
    <cfRule type="containsText" dxfId="53"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
  <sheetViews>
    <sheetView showGridLines="0" workbookViewId="0">
      <pane ySplit="1" topLeftCell="A2" activePane="bottomLeft" state="frozen"/>
      <selection pane="bottomLeft"/>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347</v>
      </c>
      <c r="G1" s="3" t="s">
        <v>5</v>
      </c>
      <c r="H1" s="3" t="s">
        <v>6</v>
      </c>
      <c r="I1" s="3" t="s">
        <v>7</v>
      </c>
      <c r="J1" s="3" t="s">
        <v>8</v>
      </c>
      <c r="K1" s="3" t="s">
        <v>9</v>
      </c>
      <c r="L1" s="3" t="s">
        <v>10</v>
      </c>
      <c r="M1" s="3" t="s">
        <v>11</v>
      </c>
      <c r="N1" s="3" t="s">
        <v>12</v>
      </c>
    </row>
    <row r="2" spans="1:14" ht="26.5" customHeight="1">
      <c r="A2" s="23">
        <v>1</v>
      </c>
      <c r="B2" s="24" t="s">
        <v>124</v>
      </c>
      <c r="C2" s="23" t="s">
        <v>428</v>
      </c>
      <c r="D2" s="97" t="s">
        <v>13</v>
      </c>
      <c r="E2" s="25" t="s">
        <v>14</v>
      </c>
      <c r="F2" s="26" t="s">
        <v>429</v>
      </c>
      <c r="G2" s="74">
        <v>0.8</v>
      </c>
      <c r="H2" s="24" t="s">
        <v>430</v>
      </c>
      <c r="I2" s="24" t="s">
        <v>431</v>
      </c>
      <c r="J2" s="24" t="s">
        <v>432</v>
      </c>
      <c r="K2" s="24" t="s">
        <v>433</v>
      </c>
      <c r="L2" s="24" t="s">
        <v>434</v>
      </c>
      <c r="M2" s="24" t="s">
        <v>435</v>
      </c>
      <c r="N2" s="75" t="s">
        <v>436</v>
      </c>
    </row>
    <row r="3" spans="1:14" ht="116">
      <c r="A3" s="27">
        <v>2</v>
      </c>
      <c r="B3" s="28" t="s">
        <v>125</v>
      </c>
      <c r="C3" s="27" t="s">
        <v>126</v>
      </c>
      <c r="D3" s="73" t="s">
        <v>21</v>
      </c>
      <c r="E3" s="29" t="s">
        <v>14</v>
      </c>
      <c r="F3" s="26" t="s">
        <v>14</v>
      </c>
      <c r="G3" s="76">
        <v>0.9</v>
      </c>
      <c r="H3" s="28" t="s">
        <v>127</v>
      </c>
      <c r="I3" s="28" t="s">
        <v>128</v>
      </c>
      <c r="J3" s="28" t="s">
        <v>129</v>
      </c>
      <c r="K3" s="28" t="s">
        <v>130</v>
      </c>
      <c r="L3" s="28" t="s">
        <v>131</v>
      </c>
      <c r="M3" s="28" t="s">
        <v>132</v>
      </c>
      <c r="N3" s="77" t="s">
        <v>133</v>
      </c>
    </row>
    <row r="4" spans="1:14" ht="108" customHeight="1">
      <c r="A4" s="27">
        <v>3</v>
      </c>
      <c r="B4" s="28" t="s">
        <v>134</v>
      </c>
      <c r="C4" s="27" t="s">
        <v>437</v>
      </c>
      <c r="D4" s="97" t="s">
        <v>13</v>
      </c>
      <c r="E4" s="29" t="s">
        <v>438</v>
      </c>
      <c r="F4" s="30" t="s">
        <v>439</v>
      </c>
      <c r="G4" s="76">
        <v>0.7</v>
      </c>
      <c r="H4" s="28" t="s">
        <v>440</v>
      </c>
      <c r="I4" s="28" t="s">
        <v>441</v>
      </c>
      <c r="J4" s="28" t="s">
        <v>442</v>
      </c>
      <c r="K4" s="28" t="s">
        <v>443</v>
      </c>
      <c r="L4" s="28" t="s">
        <v>444</v>
      </c>
      <c r="M4" s="28" t="s">
        <v>445</v>
      </c>
      <c r="N4" s="78" t="s">
        <v>446</v>
      </c>
    </row>
    <row r="5" spans="1:14" ht="116" customHeight="1">
      <c r="A5" s="27">
        <v>4</v>
      </c>
      <c r="B5" s="28" t="s">
        <v>135</v>
      </c>
      <c r="C5" s="27" t="s">
        <v>447</v>
      </c>
      <c r="D5" s="98" t="s">
        <v>13</v>
      </c>
      <c r="E5" s="29" t="s">
        <v>448</v>
      </c>
      <c r="F5" s="30" t="s">
        <v>449</v>
      </c>
      <c r="G5" s="76">
        <v>0.55000000000000004</v>
      </c>
      <c r="H5" s="28" t="s">
        <v>450</v>
      </c>
      <c r="I5" s="28" t="s">
        <v>451</v>
      </c>
      <c r="J5" s="28" t="s">
        <v>452</v>
      </c>
      <c r="K5" s="28" t="s">
        <v>453</v>
      </c>
      <c r="L5" s="28" t="s">
        <v>454</v>
      </c>
      <c r="M5" s="28" t="s">
        <v>455</v>
      </c>
      <c r="N5" s="77" t="s">
        <v>456</v>
      </c>
    </row>
    <row r="6" spans="1:14" ht="174">
      <c r="A6" s="27">
        <v>5</v>
      </c>
      <c r="B6" s="28" t="s">
        <v>136</v>
      </c>
      <c r="C6" s="27" t="s">
        <v>383</v>
      </c>
      <c r="D6" s="79" t="s">
        <v>13</v>
      </c>
      <c r="E6" s="29" t="s">
        <v>267</v>
      </c>
      <c r="F6" s="30" t="s">
        <v>384</v>
      </c>
      <c r="G6" s="76">
        <v>0.7</v>
      </c>
      <c r="H6" s="28" t="s">
        <v>385</v>
      </c>
      <c r="I6" s="28" t="s">
        <v>386</v>
      </c>
      <c r="J6" s="28" t="s">
        <v>387</v>
      </c>
      <c r="K6" s="28" t="s">
        <v>388</v>
      </c>
      <c r="L6" s="28" t="s">
        <v>389</v>
      </c>
      <c r="M6" s="28" t="s">
        <v>390</v>
      </c>
      <c r="N6" s="78" t="s">
        <v>391</v>
      </c>
    </row>
    <row r="7" spans="1:14" ht="72.5">
      <c r="A7" s="27">
        <v>6</v>
      </c>
      <c r="B7" s="28" t="s">
        <v>138</v>
      </c>
      <c r="C7" s="27" t="s">
        <v>67</v>
      </c>
      <c r="D7" s="73" t="s">
        <v>21</v>
      </c>
      <c r="E7" s="29">
        <v>46234</v>
      </c>
      <c r="F7" s="30" t="s">
        <v>292</v>
      </c>
      <c r="G7" s="76">
        <v>1</v>
      </c>
      <c r="H7" s="28" t="s">
        <v>139</v>
      </c>
      <c r="I7" s="28" t="s">
        <v>140</v>
      </c>
      <c r="J7" s="28" t="s">
        <v>141</v>
      </c>
      <c r="K7" s="28" t="s">
        <v>142</v>
      </c>
      <c r="L7" s="28" t="s">
        <v>143</v>
      </c>
      <c r="M7" s="28" t="s">
        <v>144</v>
      </c>
      <c r="N7" s="77" t="s">
        <v>137</v>
      </c>
    </row>
    <row r="8" spans="1:14" ht="116">
      <c r="A8" s="2">
        <v>7</v>
      </c>
      <c r="B8" s="28" t="s">
        <v>145</v>
      </c>
      <c r="C8" s="27" t="s">
        <v>392</v>
      </c>
      <c r="D8" s="97" t="s">
        <v>13</v>
      </c>
      <c r="E8" s="29">
        <v>46188</v>
      </c>
      <c r="F8" s="30" t="s">
        <v>393</v>
      </c>
      <c r="G8" s="76">
        <v>0.8</v>
      </c>
      <c r="H8" s="28" t="s">
        <v>394</v>
      </c>
      <c r="I8" s="28" t="s">
        <v>395</v>
      </c>
      <c r="J8" s="28" t="s">
        <v>396</v>
      </c>
      <c r="K8" s="28" t="s">
        <v>397</v>
      </c>
      <c r="L8" s="28" t="s">
        <v>398</v>
      </c>
      <c r="M8" s="28" t="s">
        <v>399</v>
      </c>
      <c r="N8" s="78" t="s">
        <v>400</v>
      </c>
    </row>
    <row r="9" spans="1:14" ht="188.5">
      <c r="A9" s="27">
        <v>8</v>
      </c>
      <c r="B9" s="28" t="s">
        <v>290</v>
      </c>
      <c r="C9" s="27" t="s">
        <v>401</v>
      </c>
      <c r="D9" s="79" t="s">
        <v>13</v>
      </c>
      <c r="E9" s="29" t="s">
        <v>291</v>
      </c>
      <c r="F9" s="30" t="s">
        <v>402</v>
      </c>
      <c r="G9" s="76">
        <v>0.7</v>
      </c>
      <c r="H9" s="28" t="s">
        <v>403</v>
      </c>
      <c r="I9" s="28" t="s">
        <v>404</v>
      </c>
      <c r="J9" s="28" t="s">
        <v>405</v>
      </c>
      <c r="K9" s="28" t="s">
        <v>406</v>
      </c>
      <c r="L9" s="28" t="s">
        <v>407</v>
      </c>
      <c r="M9" s="28" t="s">
        <v>408</v>
      </c>
      <c r="N9" s="80" t="s">
        <v>409</v>
      </c>
    </row>
    <row r="10" spans="1:14" ht="232">
      <c r="A10" s="22">
        <v>9</v>
      </c>
      <c r="B10" s="99" t="s">
        <v>457</v>
      </c>
      <c r="C10" s="100" t="s">
        <v>458</v>
      </c>
      <c r="D10" s="97" t="s">
        <v>13</v>
      </c>
      <c r="E10" s="101" t="s">
        <v>459</v>
      </c>
      <c r="F10" s="76" t="s">
        <v>460</v>
      </c>
      <c r="G10" s="76">
        <v>0.25</v>
      </c>
      <c r="H10" s="99" t="s">
        <v>461</v>
      </c>
      <c r="I10" s="99" t="s">
        <v>462</v>
      </c>
      <c r="J10" s="99" t="s">
        <v>463</v>
      </c>
      <c r="K10" s="99" t="s">
        <v>464</v>
      </c>
      <c r="L10" s="99" t="s">
        <v>465</v>
      </c>
      <c r="M10" s="99" t="s">
        <v>466</v>
      </c>
      <c r="N10" s="102" t="s">
        <v>467</v>
      </c>
    </row>
  </sheetData>
  <conditionalFormatting sqref="C2">
    <cfRule type="containsText" dxfId="52" priority="6" operator="containsText" text="In Progress"/>
    <cfRule type="containsText" dxfId="51" priority="5" operator="containsText" text="Completed"/>
    <cfRule type="containsText" dxfId="50" priority="7" operator="containsText" text="At Risk"/>
    <cfRule type="containsText" dxfId="49" priority="8" operator="containsText" text="Not Started"/>
  </conditionalFormatting>
  <conditionalFormatting sqref="C2:C8">
    <cfRule type="containsText" dxfId="48" priority="11" operator="containsText" text="At Risk"/>
    <cfRule type="containsText" dxfId="47" priority="12" operator="containsText" text="Yellow"/>
    <cfRule type="containsText" dxfId="46" priority="13" operator="containsText" text="Validation Pending"/>
  </conditionalFormatting>
  <conditionalFormatting sqref="D2:D8">
    <cfRule type="containsText" dxfId="45" priority="2" operator="containsText" text="Amber"/>
    <cfRule type="containsText" dxfId="44" priority="3" operator="containsText" text="Green"/>
    <cfRule type="containsText" dxfId="43" priority="1" operator="containsText" text="At Risk"/>
  </conditionalFormatting>
  <conditionalFormatting sqref="F2:F3">
    <cfRule type="dataBar" priority="4">
      <dataBar>
        <cfvo type="min"/>
        <cfvo type="max"/>
        <color rgb="FF5B9BD5"/>
      </dataBar>
    </cfRule>
    <cfRule type="dataBar" priority="9">
      <dataBar>
        <cfvo type="min"/>
        <cfvo type="max"/>
        <color rgb="FF5B9BD5"/>
      </dataBar>
    </cfRule>
    <cfRule type="dataBar" priority="18">
      <dataBar>
        <cfvo type="min"/>
        <cfvo type="max"/>
        <color rgb="FF5B9BD5"/>
      </dataBar>
    </cfRule>
    <cfRule type="dataBar" priority="14">
      <dataBar>
        <cfvo type="min"/>
        <cfvo type="max"/>
        <color rgb="FF5B9BD5"/>
      </dataBar>
    </cfRule>
    <cfRule type="dataBar" priority="20">
      <dataBar>
        <cfvo type="min"/>
        <cfvo type="max"/>
        <color rgb="FF5B9BD5"/>
      </dataBar>
    </cfRule>
    <cfRule type="dataBar" priority="16">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8">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40">
      <dataBar>
        <cfvo type="min"/>
        <cfvo type="max"/>
        <color rgb="FF5B9BD5"/>
      </dataBar>
    </cfRule>
    <cfRule type="dataBar" priority="42">
      <dataBar>
        <cfvo type="min"/>
        <cfvo type="max"/>
        <color rgb="FF5B9BD5"/>
      </dataBar>
      <extLst>
        <ext xmlns:x14="http://schemas.microsoft.com/office/spreadsheetml/2009/9/main" uri="{B025F937-C7B1-47D3-B67F-A62EFF666E3E}">
          <x14:id>{7DC73D10-7A36-417C-8DE8-EA5C13E12346}</x14:id>
        </ext>
      </extLst>
    </cfRule>
  </conditionalFormatting>
  <conditionalFormatting sqref="F2:F8">
    <cfRule type="dataBar" priority="19">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7">
      <dataBar>
        <cfvo type="min"/>
        <cfvo type="max"/>
        <color rgb="FF5B9BD5"/>
      </dataBar>
    </cfRule>
    <cfRule type="dataBar" priority="23">
      <dataBar>
        <cfvo type="min"/>
        <cfvo type="max"/>
        <color rgb="FF5B9BD5"/>
      </dataBar>
    </cfRule>
    <cfRule type="dataBar" priority="10">
      <dataBar>
        <cfvo type="min"/>
        <cfvo type="max"/>
        <color rgb="FF5B9BD5"/>
      </dataBar>
    </cfRule>
    <cfRule type="dataBar" priority="35">
      <dataBar>
        <cfvo type="min"/>
        <cfvo type="max"/>
        <color rgb="FF5B9BD5"/>
      </dataBar>
    </cfRule>
    <cfRule type="dataBar" priority="25">
      <dataBar>
        <cfvo type="min"/>
        <cfvo type="max"/>
        <color rgb="FF5B9BD5"/>
      </dataBar>
    </cfRule>
    <cfRule type="dataBar" priority="37">
      <dataBar>
        <cfvo type="min"/>
        <cfvo type="max"/>
        <color rgb="FF5B9BD5"/>
      </dataBar>
    </cfRule>
    <cfRule type="dataBar" priority="33">
      <dataBar>
        <cfvo type="min"/>
        <cfvo type="max"/>
        <color rgb="FF5B9BD5"/>
      </dataBar>
    </cfRule>
    <cfRule type="dataBar" priority="39">
      <dataBar>
        <cfvo type="min"/>
        <cfvo type="max"/>
        <color rgb="FF5B9BD5"/>
      </dataBar>
    </cfRule>
    <cfRule type="dataBar" priority="15">
      <dataBar>
        <cfvo type="min"/>
        <cfvo type="max"/>
        <color rgb="FF5B9BD5"/>
      </dataBar>
    </cfRule>
    <cfRule type="dataBar" priority="41">
      <dataBar>
        <cfvo type="min"/>
        <cfvo type="max"/>
        <color rgb="FF5B9BD5"/>
      </dataBar>
    </cfRule>
    <cfRule type="dataBar" priority="27">
      <dataBar>
        <cfvo type="min"/>
        <cfvo type="max"/>
        <color rgb="FF5B9BD5"/>
      </dataBar>
    </cfRule>
    <cfRule type="dataBar" priority="43">
      <dataBar>
        <cfvo type="min"/>
        <cfvo type="max"/>
        <color rgb="FF5B9BD5"/>
      </dataBar>
      <extLst>
        <ext xmlns:x14="http://schemas.microsoft.com/office/spreadsheetml/2009/9/main" uri="{B025F937-C7B1-47D3-B67F-A62EFF666E3E}">
          <x14:id>{38FFD1B6-A205-43AA-B181-89FB4925F9DA}</x14:id>
        </ext>
      </extLst>
    </cfRule>
  </conditionalFormatting>
  <dataValidations count="4">
    <dataValidation type="list" sqref="C2" xr:uid="{1292CA32-EF8D-4879-B04E-974210F003FA}">
      <formula1>"Not Started,Pending,In Progress,Ongoing,At Risk,On Hold,Completed,Roadmap,Readiness,Evaluation"</formula1>
    </dataValidation>
    <dataValidation type="decimal" sqref="F2:F7" xr:uid="{3D8462A7-7027-4EF5-8491-48F4C8AB036C}">
      <formula1>0</formula1>
      <formula2>1</formula2>
    </dataValidation>
    <dataValidation type="list" sqref="C2:C5" xr:uid="{381167A7-2D7F-4D37-A924-7178DAF91C91}">
      <formula1>"Not Started,In Progress,At Risk / In Progress,At Risk / Support Needed,Validation Pending,Yellow – Testing Progressing,On Hold,Completed"</formula1>
    </dataValidation>
    <dataValidation type="list" sqref="D2:D8" xr:uid="{1E32DF0C-6CE7-476E-83E2-B2C3371FFDB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DC73D10-7A36-417C-8DE8-EA5C13E12346}">
            <x14:dataBar>
              <x14:cfvo type="min"/>
              <x14:cfvo type="max"/>
              <x14:negativeFillColor auto="1"/>
              <x14:axisColor auto="1"/>
            </x14:dataBar>
          </x14:cfRule>
          <xm:sqref>F2:F3</xm:sqref>
        </x14:conditionalFormatting>
        <x14:conditionalFormatting xmlns:xm="http://schemas.microsoft.com/office/excel/2006/main">
          <x14:cfRule type="dataBar" id="{38FFD1B6-A205-43AA-B181-89FB4925F9DA}">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8"/>
  <sheetViews>
    <sheetView showGridLines="0" workbookViewId="0">
      <pane ySplit="1" topLeftCell="A2" activePane="bottomLeft" state="frozen"/>
      <selection pane="bottomLeft" activeCell="C3" sqref="C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81" t="s">
        <v>0</v>
      </c>
      <c r="B1" s="81" t="s">
        <v>1</v>
      </c>
      <c r="C1" s="81" t="s">
        <v>2</v>
      </c>
      <c r="D1" s="81" t="s">
        <v>3</v>
      </c>
      <c r="E1" s="81" t="s">
        <v>4</v>
      </c>
      <c r="F1" s="81" t="s">
        <v>347</v>
      </c>
      <c r="G1" s="81" t="s">
        <v>5</v>
      </c>
      <c r="H1" s="81" t="s">
        <v>6</v>
      </c>
      <c r="I1" s="81" t="s">
        <v>7</v>
      </c>
      <c r="J1" s="81" t="s">
        <v>8</v>
      </c>
      <c r="K1" s="81" t="s">
        <v>9</v>
      </c>
      <c r="L1" s="81" t="s">
        <v>10</v>
      </c>
      <c r="M1" s="81" t="s">
        <v>11</v>
      </c>
      <c r="N1" s="81" t="s">
        <v>12</v>
      </c>
    </row>
    <row r="2" spans="1:14" ht="15" customHeight="1">
      <c r="A2" s="7">
        <v>1</v>
      </c>
      <c r="B2" s="8" t="s">
        <v>146</v>
      </c>
      <c r="C2" s="82" t="s">
        <v>468</v>
      </c>
      <c r="D2" s="83" t="s">
        <v>13</v>
      </c>
      <c r="E2" s="9" t="s">
        <v>14</v>
      </c>
      <c r="F2" s="9" t="s">
        <v>14</v>
      </c>
      <c r="G2" s="20">
        <v>0.6</v>
      </c>
      <c r="H2" s="8" t="s">
        <v>147</v>
      </c>
      <c r="I2" s="8" t="s">
        <v>148</v>
      </c>
      <c r="J2" s="8" t="s">
        <v>149</v>
      </c>
      <c r="K2" s="8" t="s">
        <v>416</v>
      </c>
      <c r="L2" s="8" t="s">
        <v>150</v>
      </c>
      <c r="M2" s="8" t="s">
        <v>151</v>
      </c>
      <c r="N2" s="5" t="s">
        <v>15</v>
      </c>
    </row>
    <row r="3" spans="1:14" ht="160" customHeight="1">
      <c r="A3" s="11">
        <v>2</v>
      </c>
      <c r="B3" s="12" t="s">
        <v>348</v>
      </c>
      <c r="C3" s="84" t="s">
        <v>469</v>
      </c>
      <c r="D3" s="84" t="s">
        <v>261</v>
      </c>
      <c r="E3" s="13">
        <v>46237</v>
      </c>
      <c r="F3" s="64" t="s">
        <v>470</v>
      </c>
      <c r="G3" s="14">
        <v>0.55000000000000004</v>
      </c>
      <c r="H3" s="12" t="s">
        <v>471</v>
      </c>
      <c r="I3" s="12" t="s">
        <v>472</v>
      </c>
      <c r="J3" s="12" t="s">
        <v>473</v>
      </c>
      <c r="K3" s="12" t="s">
        <v>474</v>
      </c>
      <c r="L3" s="12" t="s">
        <v>475</v>
      </c>
      <c r="M3" s="12" t="s">
        <v>476</v>
      </c>
      <c r="N3" s="12" t="s">
        <v>477</v>
      </c>
    </row>
    <row r="4" spans="1:14" ht="160" customHeight="1">
      <c r="A4" s="7">
        <v>3</v>
      </c>
      <c r="B4" s="8" t="s">
        <v>349</v>
      </c>
      <c r="C4" s="82" t="s">
        <v>321</v>
      </c>
      <c r="D4" s="103" t="s">
        <v>13</v>
      </c>
      <c r="E4" s="9">
        <v>46043</v>
      </c>
      <c r="F4" s="63">
        <v>46407</v>
      </c>
      <c r="G4" s="20">
        <v>0.65</v>
      </c>
      <c r="H4" s="8" t="s">
        <v>322</v>
      </c>
      <c r="I4" s="8" t="s">
        <v>323</v>
      </c>
      <c r="J4" s="8" t="s">
        <v>324</v>
      </c>
      <c r="K4" s="8" t="s">
        <v>417</v>
      </c>
      <c r="L4" s="8" t="s">
        <v>325</v>
      </c>
      <c r="M4" s="8" t="s">
        <v>326</v>
      </c>
      <c r="N4" s="5" t="s">
        <v>327</v>
      </c>
    </row>
    <row r="5" spans="1:14" ht="160" customHeight="1">
      <c r="A5" s="7">
        <v>4</v>
      </c>
      <c r="B5" s="8" t="s">
        <v>350</v>
      </c>
      <c r="C5" s="84" t="s">
        <v>478</v>
      </c>
      <c r="D5" s="104" t="s">
        <v>261</v>
      </c>
      <c r="E5" s="9">
        <v>46267</v>
      </c>
      <c r="F5" s="63" t="s">
        <v>328</v>
      </c>
      <c r="G5" s="20">
        <v>0.6</v>
      </c>
      <c r="H5" s="8" t="s">
        <v>479</v>
      </c>
      <c r="I5" s="8" t="s">
        <v>480</v>
      </c>
      <c r="J5" s="8" t="s">
        <v>481</v>
      </c>
      <c r="K5" s="8" t="s">
        <v>482</v>
      </c>
      <c r="L5" s="8" t="s">
        <v>483</v>
      </c>
      <c r="M5" s="8" t="s">
        <v>484</v>
      </c>
      <c r="N5" s="5" t="s">
        <v>485</v>
      </c>
    </row>
    <row r="6" spans="1:14" ht="160" customHeight="1">
      <c r="A6" s="7">
        <v>5</v>
      </c>
      <c r="B6" s="8" t="s">
        <v>152</v>
      </c>
      <c r="C6" s="84" t="s">
        <v>486</v>
      </c>
      <c r="D6" s="84" t="s">
        <v>261</v>
      </c>
      <c r="E6" s="9">
        <v>46267</v>
      </c>
      <c r="F6" s="63" t="s">
        <v>329</v>
      </c>
      <c r="G6" s="20">
        <v>0.55000000000000004</v>
      </c>
      <c r="H6" s="8" t="s">
        <v>487</v>
      </c>
      <c r="I6" s="8" t="s">
        <v>488</v>
      </c>
      <c r="J6" s="8" t="s">
        <v>489</v>
      </c>
      <c r="K6" s="8" t="s">
        <v>351</v>
      </c>
      <c r="L6" s="8" t="s">
        <v>490</v>
      </c>
      <c r="M6" s="8" t="s">
        <v>491</v>
      </c>
      <c r="N6" s="5" t="s">
        <v>492</v>
      </c>
    </row>
    <row r="7" spans="1:14" ht="15" customHeight="1">
      <c r="A7" s="7">
        <v>6</v>
      </c>
      <c r="B7" s="8" t="s">
        <v>153</v>
      </c>
      <c r="C7" s="82" t="s">
        <v>154</v>
      </c>
      <c r="D7" s="103" t="s">
        <v>13</v>
      </c>
      <c r="E7" s="9">
        <v>46237</v>
      </c>
      <c r="F7" s="63" t="s">
        <v>14</v>
      </c>
      <c r="G7" s="20">
        <v>0.75</v>
      </c>
      <c r="H7" s="8" t="s">
        <v>155</v>
      </c>
      <c r="I7" s="8" t="s">
        <v>156</v>
      </c>
      <c r="J7" s="8" t="s">
        <v>157</v>
      </c>
      <c r="K7" s="8" t="s">
        <v>416</v>
      </c>
      <c r="L7" s="8" t="s">
        <v>158</v>
      </c>
      <c r="M7" s="8" t="s">
        <v>159</v>
      </c>
      <c r="N7" s="5" t="s">
        <v>15</v>
      </c>
    </row>
    <row r="8" spans="1:14" ht="160" customHeight="1">
      <c r="A8" s="7">
        <v>7</v>
      </c>
      <c r="B8" s="8" t="s">
        <v>160</v>
      </c>
      <c r="C8" s="82" t="s">
        <v>330</v>
      </c>
      <c r="D8" s="103" t="s">
        <v>13</v>
      </c>
      <c r="E8" s="9">
        <v>46266</v>
      </c>
      <c r="F8" s="63" t="s">
        <v>331</v>
      </c>
      <c r="G8" s="20">
        <v>0.48</v>
      </c>
      <c r="H8" s="8" t="s">
        <v>332</v>
      </c>
      <c r="I8" s="8" t="s">
        <v>333</v>
      </c>
      <c r="J8" s="8" t="s">
        <v>334</v>
      </c>
      <c r="K8" s="8" t="s">
        <v>335</v>
      </c>
      <c r="L8" s="8" t="s">
        <v>336</v>
      </c>
      <c r="M8" s="8" t="s">
        <v>337</v>
      </c>
      <c r="N8" s="5" t="s">
        <v>338</v>
      </c>
    </row>
    <row r="9" spans="1:14" ht="26.5" customHeight="1">
      <c r="A9" s="7">
        <v>8</v>
      </c>
      <c r="B9" s="8" t="s">
        <v>161</v>
      </c>
      <c r="C9" s="82" t="s">
        <v>162</v>
      </c>
      <c r="D9" s="103" t="s">
        <v>13</v>
      </c>
      <c r="E9" s="9">
        <v>46237</v>
      </c>
      <c r="F9" s="63" t="s">
        <v>14</v>
      </c>
      <c r="G9" s="20">
        <v>0.6</v>
      </c>
      <c r="H9" s="8" t="s">
        <v>163</v>
      </c>
      <c r="I9" s="8" t="s">
        <v>164</v>
      </c>
      <c r="J9" s="8" t="s">
        <v>165</v>
      </c>
      <c r="K9" s="8" t="s">
        <v>416</v>
      </c>
      <c r="L9" s="8" t="s">
        <v>166</v>
      </c>
      <c r="M9" s="8" t="s">
        <v>167</v>
      </c>
      <c r="N9" s="5" t="s">
        <v>15</v>
      </c>
    </row>
    <row r="10" spans="1:14" ht="26.5" customHeight="1">
      <c r="A10" s="7">
        <v>9</v>
      </c>
      <c r="B10" s="8" t="s">
        <v>168</v>
      </c>
      <c r="C10" s="82" t="s">
        <v>169</v>
      </c>
      <c r="D10" s="103" t="s">
        <v>13</v>
      </c>
      <c r="E10" s="9">
        <v>46237</v>
      </c>
      <c r="F10" s="63" t="s">
        <v>14</v>
      </c>
      <c r="G10" s="20">
        <v>0.6</v>
      </c>
      <c r="H10" s="8" t="s">
        <v>170</v>
      </c>
      <c r="I10" s="8" t="s">
        <v>171</v>
      </c>
      <c r="J10" s="8" t="s">
        <v>172</v>
      </c>
      <c r="K10" s="8" t="s">
        <v>416</v>
      </c>
      <c r="L10" s="8" t="s">
        <v>173</v>
      </c>
      <c r="M10" s="8" t="s">
        <v>174</v>
      </c>
      <c r="N10" s="5" t="s">
        <v>15</v>
      </c>
    </row>
    <row r="11" spans="1:14" ht="26.5" customHeight="1">
      <c r="A11" s="7">
        <v>10</v>
      </c>
      <c r="B11" s="8" t="s">
        <v>175</v>
      </c>
      <c r="C11" s="82" t="s">
        <v>176</v>
      </c>
      <c r="D11" s="103" t="s">
        <v>13</v>
      </c>
      <c r="E11" s="9">
        <v>46237</v>
      </c>
      <c r="F11" s="63" t="s">
        <v>14</v>
      </c>
      <c r="G11" s="20">
        <v>0.6</v>
      </c>
      <c r="H11" s="8" t="s">
        <v>177</v>
      </c>
      <c r="I11" s="8" t="s">
        <v>178</v>
      </c>
      <c r="J11" s="8" t="s">
        <v>179</v>
      </c>
      <c r="K11" s="8" t="s">
        <v>416</v>
      </c>
      <c r="L11" s="8" t="s">
        <v>180</v>
      </c>
      <c r="M11" s="8" t="s">
        <v>181</v>
      </c>
      <c r="N11" s="5" t="s">
        <v>15</v>
      </c>
    </row>
    <row r="12" spans="1:14" ht="15" customHeight="1">
      <c r="A12" s="7">
        <v>11</v>
      </c>
      <c r="B12" s="8" t="s">
        <v>182</v>
      </c>
      <c r="C12" s="82" t="s">
        <v>183</v>
      </c>
      <c r="D12" s="103" t="s">
        <v>13</v>
      </c>
      <c r="E12" s="9">
        <v>46237</v>
      </c>
      <c r="F12" s="63" t="s">
        <v>14</v>
      </c>
      <c r="G12" s="20">
        <v>0.5</v>
      </c>
      <c r="H12" s="8" t="s">
        <v>184</v>
      </c>
      <c r="I12" s="8" t="s">
        <v>185</v>
      </c>
      <c r="J12" s="8" t="s">
        <v>186</v>
      </c>
      <c r="K12" s="8" t="s">
        <v>416</v>
      </c>
      <c r="L12" s="8" t="s">
        <v>187</v>
      </c>
      <c r="M12" s="8" t="s">
        <v>188</v>
      </c>
      <c r="N12" s="5" t="s">
        <v>15</v>
      </c>
    </row>
    <row r="13" spans="1:14" ht="160" customHeight="1">
      <c r="A13" s="11">
        <v>12</v>
      </c>
      <c r="B13" s="105" t="s">
        <v>352</v>
      </c>
      <c r="C13" s="84" t="s">
        <v>493</v>
      </c>
      <c r="D13" s="104" t="s">
        <v>261</v>
      </c>
      <c r="E13" s="13">
        <v>46280</v>
      </c>
      <c r="F13" s="64" t="s">
        <v>494</v>
      </c>
      <c r="G13" s="14">
        <v>0.55000000000000004</v>
      </c>
      <c r="H13" s="12" t="s">
        <v>495</v>
      </c>
      <c r="I13" s="12" t="s">
        <v>496</v>
      </c>
      <c r="J13" s="12" t="s">
        <v>497</v>
      </c>
      <c r="K13" s="12" t="s">
        <v>498</v>
      </c>
      <c r="L13" s="12" t="s">
        <v>499</v>
      </c>
      <c r="M13" s="12" t="s">
        <v>500</v>
      </c>
      <c r="N13" s="12" t="s">
        <v>501</v>
      </c>
    </row>
    <row r="14" spans="1:14" ht="96" customHeight="1">
      <c r="A14" s="11">
        <v>13</v>
      </c>
      <c r="B14" s="12" t="s">
        <v>189</v>
      </c>
      <c r="C14" s="82" t="s">
        <v>190</v>
      </c>
      <c r="D14" s="83" t="s">
        <v>13</v>
      </c>
      <c r="E14" s="13" t="s">
        <v>191</v>
      </c>
      <c r="F14" s="64" t="s">
        <v>192</v>
      </c>
      <c r="G14" s="14">
        <v>0.75</v>
      </c>
      <c r="H14" s="12" t="s">
        <v>193</v>
      </c>
      <c r="I14" s="12" t="s">
        <v>353</v>
      </c>
      <c r="J14" s="12" t="s">
        <v>194</v>
      </c>
      <c r="K14" s="12" t="s">
        <v>195</v>
      </c>
      <c r="L14" s="12" t="s">
        <v>196</v>
      </c>
      <c r="M14" s="12" t="s">
        <v>197</v>
      </c>
      <c r="N14" s="12" t="s">
        <v>35</v>
      </c>
    </row>
    <row r="15" spans="1:14" ht="96" customHeight="1">
      <c r="A15" s="11">
        <v>14</v>
      </c>
      <c r="B15" s="12" t="s">
        <v>198</v>
      </c>
      <c r="C15" s="82" t="s">
        <v>199</v>
      </c>
      <c r="D15" s="83" t="s">
        <v>13</v>
      </c>
      <c r="E15" s="13" t="s">
        <v>14</v>
      </c>
      <c r="F15" s="64" t="s">
        <v>14</v>
      </c>
      <c r="G15" s="14">
        <v>0.7</v>
      </c>
      <c r="H15" s="12" t="s">
        <v>200</v>
      </c>
      <c r="I15" s="12" t="s">
        <v>262</v>
      </c>
      <c r="J15" s="12" t="s">
        <v>263</v>
      </c>
      <c r="K15" s="12" t="s">
        <v>418</v>
      </c>
      <c r="L15" s="12" t="s">
        <v>264</v>
      </c>
      <c r="M15" s="12" t="s">
        <v>201</v>
      </c>
      <c r="N15" s="12" t="s">
        <v>265</v>
      </c>
    </row>
    <row r="16" spans="1:14" ht="160" customHeight="1">
      <c r="A16" s="16">
        <v>15</v>
      </c>
      <c r="B16" s="5" t="s">
        <v>202</v>
      </c>
      <c r="C16" s="82" t="s">
        <v>339</v>
      </c>
      <c r="D16" s="83" t="s">
        <v>13</v>
      </c>
      <c r="E16" s="17">
        <v>46283</v>
      </c>
      <c r="F16" s="106" t="s">
        <v>340</v>
      </c>
      <c r="G16" s="18">
        <v>0.65</v>
      </c>
      <c r="H16" s="5" t="s">
        <v>341</v>
      </c>
      <c r="I16" s="5" t="s">
        <v>342</v>
      </c>
      <c r="J16" s="5" t="s">
        <v>343</v>
      </c>
      <c r="K16" s="5" t="s">
        <v>419</v>
      </c>
      <c r="L16" s="5" t="s">
        <v>344</v>
      </c>
      <c r="M16" s="5" t="s">
        <v>345</v>
      </c>
      <c r="N16" s="5" t="s">
        <v>346</v>
      </c>
    </row>
    <row r="17" spans="1:14" ht="160" customHeight="1">
      <c r="A17" s="16">
        <v>16</v>
      </c>
      <c r="B17" s="5" t="s">
        <v>266</v>
      </c>
      <c r="C17" s="82" t="s">
        <v>502</v>
      </c>
      <c r="D17" s="83" t="s">
        <v>13</v>
      </c>
      <c r="E17" s="17">
        <v>46286</v>
      </c>
      <c r="F17" s="106" t="s">
        <v>503</v>
      </c>
      <c r="G17" s="18">
        <v>0.7</v>
      </c>
      <c r="H17" s="5" t="s">
        <v>504</v>
      </c>
      <c r="I17" s="5" t="s">
        <v>505</v>
      </c>
      <c r="J17" s="5" t="s">
        <v>506</v>
      </c>
      <c r="K17" s="5" t="s">
        <v>507</v>
      </c>
      <c r="L17" s="5" t="s">
        <v>508</v>
      </c>
      <c r="M17" s="5" t="s">
        <v>509</v>
      </c>
      <c r="N17" s="5" t="s">
        <v>510</v>
      </c>
    </row>
    <row r="18" spans="1:14" ht="182">
      <c r="A18" s="16">
        <v>17</v>
      </c>
      <c r="B18" s="5" t="s">
        <v>511</v>
      </c>
      <c r="C18" s="82" t="s">
        <v>512</v>
      </c>
      <c r="D18" s="83" t="s">
        <v>13</v>
      </c>
      <c r="E18" s="17">
        <v>46316</v>
      </c>
      <c r="F18" s="106" t="s">
        <v>513</v>
      </c>
      <c r="G18" s="18">
        <v>0.25</v>
      </c>
      <c r="H18" s="5" t="s">
        <v>514</v>
      </c>
      <c r="I18" s="5" t="s">
        <v>515</v>
      </c>
      <c r="J18" s="5" t="s">
        <v>516</v>
      </c>
      <c r="K18" s="5" t="s">
        <v>517</v>
      </c>
      <c r="L18" s="5" t="s">
        <v>518</v>
      </c>
      <c r="M18" s="5" t="s">
        <v>519</v>
      </c>
      <c r="N18" s="5" t="s">
        <v>510</v>
      </c>
    </row>
  </sheetData>
  <conditionalFormatting sqref="B13">
    <cfRule type="containsText" dxfId="42" priority="1" operator="containsText" text="Completed"/>
    <cfRule type="containsText" dxfId="41" priority="2" operator="containsText" text="In Progress"/>
    <cfRule type="containsText" dxfId="40" priority="3" operator="containsText" text="At Risk"/>
    <cfRule type="containsText" dxfId="39" priority="4" operator="containsText" text="Not Started"/>
  </conditionalFormatting>
  <conditionalFormatting sqref="C2:C13">
    <cfRule type="containsText" dxfId="38" priority="6" operator="containsText" text="Completed"/>
    <cfRule type="containsText" dxfId="37" priority="7" operator="containsText" text="In Progress"/>
    <cfRule type="containsText" dxfId="36" priority="9" operator="containsText" text="Not Started"/>
  </conditionalFormatting>
  <conditionalFormatting sqref="C2:D13">
    <cfRule type="containsText" dxfId="35" priority="8" operator="containsText" text="At Risk"/>
  </conditionalFormatting>
  <conditionalFormatting sqref="D2:D13">
    <cfRule type="containsText" dxfId="34" priority="14" operator="containsText" text="Amber"/>
    <cfRule type="containsText" dxfId="33"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extLst>
        <ext xmlns:x14="http://schemas.microsoft.com/office/spreadsheetml/2009/9/main" uri="{B025F937-C7B1-47D3-B67F-A62EFF666E3E}">
          <x14:id>{C396F6AF-21C4-4FA7-97B0-3F36B31F276E}</x14:id>
        </ext>
      </extLst>
    </cfRule>
  </conditionalFormatting>
  <dataValidations count="3">
    <dataValidation type="list" sqref="C2:C12" xr:uid="{379B840A-EE6F-4230-AA9A-6C9B47854984}">
      <formula1>"Not Started,Pending,In Progress,Ongoing,At Risk,On Hold,Completed,Roadmap,Readiness,Evaluation"</formula1>
    </dataValidation>
    <dataValidation type="decimal" sqref="F2:F12" xr:uid="{E823B7CE-03D3-4348-84CA-F812E48F83D0}">
      <formula1>0</formula1>
      <formula2>1</formula2>
    </dataValidation>
    <dataValidation type="list" sqref="D2:D13" xr:uid="{B3788653-AA44-4F6E-8CDC-D7C44DB1F981}">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396F6AF-21C4-4FA7-97B0-3F36B31F276E}">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7"/>
  <sheetViews>
    <sheetView showGridLines="0" workbookViewId="0">
      <pane ySplit="1" topLeftCell="A2" activePane="bottomLeft" state="frozen"/>
      <selection pane="bottomLeft" activeCell="B4" sqref="B4"/>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107" t="s">
        <v>0</v>
      </c>
      <c r="B1" s="107" t="s">
        <v>1</v>
      </c>
      <c r="C1" s="107" t="s">
        <v>2</v>
      </c>
      <c r="D1" s="107" t="s">
        <v>3</v>
      </c>
      <c r="E1" s="107" t="s">
        <v>4</v>
      </c>
      <c r="F1" s="107" t="s">
        <v>347</v>
      </c>
      <c r="G1" s="107" t="s">
        <v>5</v>
      </c>
      <c r="H1" s="107" t="s">
        <v>6</v>
      </c>
      <c r="I1" s="107" t="s">
        <v>7</v>
      </c>
      <c r="J1" s="107" t="s">
        <v>8</v>
      </c>
      <c r="K1" s="107" t="s">
        <v>9</v>
      </c>
      <c r="L1" s="107" t="s">
        <v>10</v>
      </c>
      <c r="M1" s="107" t="s">
        <v>11</v>
      </c>
      <c r="N1" s="107" t="s">
        <v>12</v>
      </c>
    </row>
    <row r="2" spans="1:14" ht="78" customHeight="1">
      <c r="A2" s="16">
        <v>1</v>
      </c>
      <c r="B2" s="5" t="s">
        <v>203</v>
      </c>
      <c r="C2" s="65" t="s">
        <v>520</v>
      </c>
      <c r="D2" s="108" t="s">
        <v>21</v>
      </c>
      <c r="E2" s="17">
        <v>46240</v>
      </c>
      <c r="F2" s="17" t="s">
        <v>521</v>
      </c>
      <c r="G2" s="18">
        <v>1</v>
      </c>
      <c r="H2" s="5" t="s">
        <v>522</v>
      </c>
      <c r="I2" s="5" t="s">
        <v>523</v>
      </c>
      <c r="J2" s="5" t="s">
        <v>524</v>
      </c>
      <c r="K2" s="5" t="s">
        <v>525</v>
      </c>
      <c r="L2" s="5" t="s">
        <v>526</v>
      </c>
      <c r="M2" s="5" t="s">
        <v>527</v>
      </c>
      <c r="N2" s="5" t="s">
        <v>528</v>
      </c>
    </row>
    <row r="3" spans="1:14" ht="78" customHeight="1">
      <c r="A3" s="16">
        <v>2</v>
      </c>
      <c r="B3" s="5" t="s">
        <v>204</v>
      </c>
      <c r="C3" s="65" t="s">
        <v>529</v>
      </c>
      <c r="D3" s="71" t="s">
        <v>21</v>
      </c>
      <c r="E3" s="17">
        <v>46240</v>
      </c>
      <c r="F3" s="17" t="s">
        <v>14</v>
      </c>
      <c r="G3" s="18">
        <v>1</v>
      </c>
      <c r="H3" s="5" t="s">
        <v>205</v>
      </c>
      <c r="I3" s="5" t="s">
        <v>530</v>
      </c>
      <c r="J3" s="5" t="s">
        <v>531</v>
      </c>
      <c r="K3" s="5" t="s">
        <v>206</v>
      </c>
      <c r="L3" s="5" t="s">
        <v>532</v>
      </c>
      <c r="M3" s="5" t="s">
        <v>533</v>
      </c>
      <c r="N3" s="5" t="s">
        <v>534</v>
      </c>
    </row>
    <row r="4" spans="1:14" ht="78" customHeight="1">
      <c r="A4" s="16">
        <v>3</v>
      </c>
      <c r="B4" s="5" t="s">
        <v>207</v>
      </c>
      <c r="C4" s="65" t="s">
        <v>67</v>
      </c>
      <c r="D4" s="71" t="s">
        <v>21</v>
      </c>
      <c r="E4" s="17">
        <v>46240</v>
      </c>
      <c r="F4" s="17" t="s">
        <v>14</v>
      </c>
      <c r="G4" s="18">
        <v>1</v>
      </c>
      <c r="H4" s="5" t="s">
        <v>208</v>
      </c>
      <c r="I4" s="5" t="s">
        <v>209</v>
      </c>
      <c r="J4" s="5" t="s">
        <v>210</v>
      </c>
      <c r="K4" s="5" t="s">
        <v>211</v>
      </c>
      <c r="L4" s="5" t="s">
        <v>212</v>
      </c>
      <c r="M4" s="5" t="s">
        <v>213</v>
      </c>
      <c r="N4" s="5" t="s">
        <v>214</v>
      </c>
    </row>
    <row r="5" spans="1:14" ht="78" customHeight="1">
      <c r="A5" s="16">
        <v>4</v>
      </c>
      <c r="B5" s="5" t="s">
        <v>215</v>
      </c>
      <c r="C5" s="65" t="s">
        <v>67</v>
      </c>
      <c r="D5" s="71" t="s">
        <v>21</v>
      </c>
      <c r="E5" s="17">
        <v>46265</v>
      </c>
      <c r="F5" s="17" t="s">
        <v>535</v>
      </c>
      <c r="G5" s="18">
        <v>1</v>
      </c>
      <c r="H5" s="5" t="s">
        <v>536</v>
      </c>
      <c r="I5" s="5" t="s">
        <v>537</v>
      </c>
      <c r="J5" s="5" t="s">
        <v>538</v>
      </c>
      <c r="K5" s="5" t="s">
        <v>539</v>
      </c>
      <c r="L5" s="5" t="s">
        <v>540</v>
      </c>
      <c r="M5" s="5" t="s">
        <v>541</v>
      </c>
      <c r="N5" s="5" t="s">
        <v>542</v>
      </c>
    </row>
    <row r="6" spans="1:14" ht="96" customHeight="1">
      <c r="A6" s="11">
        <v>5</v>
      </c>
      <c r="B6" s="12" t="s">
        <v>216</v>
      </c>
      <c r="C6" s="66" t="s">
        <v>543</v>
      </c>
      <c r="D6" s="68" t="s">
        <v>13</v>
      </c>
      <c r="E6" s="13">
        <v>46266</v>
      </c>
      <c r="F6" s="13" t="s">
        <v>544</v>
      </c>
      <c r="G6" s="14">
        <v>0.9</v>
      </c>
      <c r="H6" s="12" t="s">
        <v>545</v>
      </c>
      <c r="I6" s="12" t="s">
        <v>546</v>
      </c>
      <c r="J6" s="12" t="s">
        <v>547</v>
      </c>
      <c r="K6" s="12" t="s">
        <v>548</v>
      </c>
      <c r="L6" s="12" t="s">
        <v>549</v>
      </c>
      <c r="M6" s="12" t="s">
        <v>550</v>
      </c>
      <c r="N6" s="12" t="s">
        <v>551</v>
      </c>
    </row>
    <row r="7" spans="1:14" ht="78" customHeight="1">
      <c r="A7" s="16">
        <v>6</v>
      </c>
      <c r="B7" s="5" t="s">
        <v>217</v>
      </c>
      <c r="C7" s="65" t="s">
        <v>67</v>
      </c>
      <c r="D7" s="71" t="s">
        <v>21</v>
      </c>
      <c r="E7" s="17">
        <v>46240</v>
      </c>
      <c r="F7" s="17" t="s">
        <v>14</v>
      </c>
      <c r="G7" s="18">
        <v>1</v>
      </c>
      <c r="H7" s="5" t="s">
        <v>218</v>
      </c>
      <c r="I7" s="5" t="s">
        <v>219</v>
      </c>
      <c r="J7" s="5" t="s">
        <v>220</v>
      </c>
      <c r="K7" s="5" t="s">
        <v>221</v>
      </c>
      <c r="L7" s="5" t="s">
        <v>222</v>
      </c>
      <c r="M7" s="5" t="s">
        <v>223</v>
      </c>
      <c r="N7" s="5" t="s">
        <v>224</v>
      </c>
    </row>
    <row r="8" spans="1:14" ht="78" customHeight="1">
      <c r="A8" s="16">
        <v>7</v>
      </c>
      <c r="B8" s="5" t="s">
        <v>225</v>
      </c>
      <c r="C8" s="65" t="s">
        <v>67</v>
      </c>
      <c r="D8" s="71" t="s">
        <v>21</v>
      </c>
      <c r="E8" s="17">
        <v>46240</v>
      </c>
      <c r="F8" s="17" t="s">
        <v>14</v>
      </c>
      <c r="G8" s="18">
        <v>1</v>
      </c>
      <c r="H8" s="5" t="s">
        <v>226</v>
      </c>
      <c r="I8" s="5" t="s">
        <v>227</v>
      </c>
      <c r="J8" s="5" t="s">
        <v>228</v>
      </c>
      <c r="K8" s="5" t="s">
        <v>229</v>
      </c>
      <c r="L8" s="5" t="s">
        <v>230</v>
      </c>
      <c r="M8" s="5" t="s">
        <v>231</v>
      </c>
      <c r="N8" s="5" t="s">
        <v>232</v>
      </c>
    </row>
    <row r="9" spans="1:14" ht="78" customHeight="1">
      <c r="A9" s="16">
        <v>8</v>
      </c>
      <c r="B9" s="5" t="s">
        <v>233</v>
      </c>
      <c r="C9" s="65" t="s">
        <v>67</v>
      </c>
      <c r="D9" s="71" t="s">
        <v>21</v>
      </c>
      <c r="E9" s="17">
        <v>46265</v>
      </c>
      <c r="F9" s="17" t="s">
        <v>14</v>
      </c>
      <c r="G9" s="18">
        <v>1</v>
      </c>
      <c r="H9" s="5" t="s">
        <v>234</v>
      </c>
      <c r="I9" s="5" t="s">
        <v>235</v>
      </c>
      <c r="J9" s="5" t="s">
        <v>236</v>
      </c>
      <c r="K9" s="5" t="s">
        <v>237</v>
      </c>
      <c r="L9" s="5" t="s">
        <v>238</v>
      </c>
      <c r="M9" s="5" t="s">
        <v>239</v>
      </c>
      <c r="N9" s="5" t="s">
        <v>240</v>
      </c>
    </row>
    <row r="10" spans="1:14" ht="78" customHeight="1">
      <c r="A10" s="16">
        <v>9</v>
      </c>
      <c r="B10" s="5" t="s">
        <v>241</v>
      </c>
      <c r="C10" s="65" t="s">
        <v>242</v>
      </c>
      <c r="D10" s="71" t="s">
        <v>21</v>
      </c>
      <c r="E10" s="17">
        <v>46240</v>
      </c>
      <c r="F10" s="17">
        <v>46265</v>
      </c>
      <c r="G10" s="18">
        <v>1</v>
      </c>
      <c r="H10" s="5" t="s">
        <v>243</v>
      </c>
      <c r="I10" s="5" t="s">
        <v>244</v>
      </c>
      <c r="J10" s="5" t="s">
        <v>245</v>
      </c>
      <c r="K10" s="5" t="s">
        <v>246</v>
      </c>
      <c r="L10" s="5" t="s">
        <v>247</v>
      </c>
      <c r="M10" s="5" t="s">
        <v>248</v>
      </c>
      <c r="N10" s="5" t="s">
        <v>249</v>
      </c>
    </row>
    <row r="11" spans="1:14" ht="78" customHeight="1">
      <c r="A11" s="16">
        <v>10</v>
      </c>
      <c r="B11" s="5" t="s">
        <v>250</v>
      </c>
      <c r="C11" s="71" t="s">
        <v>552</v>
      </c>
      <c r="D11" s="71" t="s">
        <v>21</v>
      </c>
      <c r="E11" s="17" t="s">
        <v>267</v>
      </c>
      <c r="F11" s="17" t="s">
        <v>268</v>
      </c>
      <c r="G11" s="18">
        <v>0.9</v>
      </c>
      <c r="H11" s="5" t="s">
        <v>269</v>
      </c>
      <c r="I11" s="5" t="s">
        <v>553</v>
      </c>
      <c r="J11" s="5" t="s">
        <v>554</v>
      </c>
      <c r="K11" s="5" t="s">
        <v>555</v>
      </c>
      <c r="L11" s="5" t="s">
        <v>556</v>
      </c>
      <c r="M11" s="5" t="s">
        <v>557</v>
      </c>
      <c r="N11" s="5" t="s">
        <v>558</v>
      </c>
    </row>
    <row r="12" spans="1:14" ht="78" customHeight="1">
      <c r="A12" s="16">
        <v>11</v>
      </c>
      <c r="B12" s="5" t="s">
        <v>251</v>
      </c>
      <c r="C12" s="71" t="s">
        <v>270</v>
      </c>
      <c r="D12" s="71" t="s">
        <v>21</v>
      </c>
      <c r="E12" s="17" t="s">
        <v>267</v>
      </c>
      <c r="F12" s="17" t="s">
        <v>271</v>
      </c>
      <c r="G12" s="18">
        <v>0.9</v>
      </c>
      <c r="H12" s="5" t="s">
        <v>272</v>
      </c>
      <c r="I12" s="5" t="s">
        <v>273</v>
      </c>
      <c r="J12" s="5" t="s">
        <v>274</v>
      </c>
      <c r="K12" s="5" t="s">
        <v>275</v>
      </c>
      <c r="L12" s="5" t="s">
        <v>276</v>
      </c>
      <c r="M12" s="5" t="s">
        <v>277</v>
      </c>
      <c r="N12" s="5" t="s">
        <v>278</v>
      </c>
    </row>
    <row r="13" spans="1:14" ht="78" customHeight="1">
      <c r="A13" s="16">
        <v>12</v>
      </c>
      <c r="B13" s="5" t="s">
        <v>252</v>
      </c>
      <c r="C13" s="66" t="s">
        <v>253</v>
      </c>
      <c r="D13" s="109" t="s">
        <v>13</v>
      </c>
      <c r="E13" s="17">
        <v>46240</v>
      </c>
      <c r="F13" s="17" t="s">
        <v>14</v>
      </c>
      <c r="G13" s="18">
        <v>0.85</v>
      </c>
      <c r="H13" s="5" t="s">
        <v>254</v>
      </c>
      <c r="I13" s="5" t="s">
        <v>255</v>
      </c>
      <c r="J13" s="5" t="s">
        <v>256</v>
      </c>
      <c r="K13" s="5" t="s">
        <v>257</v>
      </c>
      <c r="L13" s="5" t="s">
        <v>258</v>
      </c>
      <c r="M13" s="5" t="s">
        <v>259</v>
      </c>
      <c r="N13" s="5" t="s">
        <v>260</v>
      </c>
    </row>
    <row r="14" spans="1:14" ht="96" customHeight="1">
      <c r="A14" s="11">
        <v>13</v>
      </c>
      <c r="B14" s="12" t="s">
        <v>279</v>
      </c>
      <c r="C14" s="71" t="s">
        <v>559</v>
      </c>
      <c r="D14" s="71" t="s">
        <v>21</v>
      </c>
      <c r="E14" s="13" t="s">
        <v>68</v>
      </c>
      <c r="F14" s="13" t="s">
        <v>560</v>
      </c>
      <c r="G14" s="14">
        <v>0.9</v>
      </c>
      <c r="H14" s="12" t="s">
        <v>280</v>
      </c>
      <c r="I14" s="12" t="s">
        <v>561</v>
      </c>
      <c r="J14" s="12" t="s">
        <v>562</v>
      </c>
      <c r="K14" s="12" t="s">
        <v>563</v>
      </c>
      <c r="L14" s="12" t="s">
        <v>564</v>
      </c>
      <c r="M14" s="12" t="s">
        <v>565</v>
      </c>
      <c r="N14" s="12" t="s">
        <v>566</v>
      </c>
    </row>
    <row r="15" spans="1:14" ht="100">
      <c r="A15" s="11">
        <v>14</v>
      </c>
      <c r="B15" s="12" t="s">
        <v>567</v>
      </c>
      <c r="C15" s="71" t="s">
        <v>568</v>
      </c>
      <c r="D15" s="71" t="s">
        <v>21</v>
      </c>
      <c r="E15" s="13">
        <v>46293</v>
      </c>
      <c r="F15" s="13" t="s">
        <v>569</v>
      </c>
      <c r="G15" s="14">
        <v>0.9</v>
      </c>
      <c r="H15" s="12" t="s">
        <v>570</v>
      </c>
      <c r="I15" s="12" t="s">
        <v>571</v>
      </c>
      <c r="J15" s="12" t="s">
        <v>572</v>
      </c>
      <c r="K15" s="12" t="s">
        <v>573</v>
      </c>
      <c r="L15" s="12" t="s">
        <v>574</v>
      </c>
      <c r="M15" s="12" t="s">
        <v>575</v>
      </c>
      <c r="N15" s="12" t="s">
        <v>576</v>
      </c>
    </row>
    <row r="16" spans="1:14" ht="125">
      <c r="A16" s="11">
        <v>15</v>
      </c>
      <c r="B16" s="12" t="s">
        <v>577</v>
      </c>
      <c r="C16" s="19" t="s">
        <v>578</v>
      </c>
      <c r="D16" s="72" t="s">
        <v>13</v>
      </c>
      <c r="E16" s="13">
        <v>46310</v>
      </c>
      <c r="F16" s="13" t="s">
        <v>579</v>
      </c>
      <c r="G16" s="14">
        <v>0.45</v>
      </c>
      <c r="H16" s="12" t="s">
        <v>580</v>
      </c>
      <c r="I16" s="12" t="s">
        <v>581</v>
      </c>
      <c r="J16" s="12" t="s">
        <v>582</v>
      </c>
      <c r="K16" s="12" t="s">
        <v>583</v>
      </c>
      <c r="L16" s="12" t="s">
        <v>584</v>
      </c>
      <c r="M16" s="12" t="s">
        <v>585</v>
      </c>
      <c r="N16" s="12" t="s">
        <v>551</v>
      </c>
    </row>
    <row r="17" spans="1:14" ht="112.5">
      <c r="A17" s="11">
        <v>16</v>
      </c>
      <c r="B17" s="12" t="s">
        <v>586</v>
      </c>
      <c r="C17" s="71" t="s">
        <v>67</v>
      </c>
      <c r="D17" s="71" t="s">
        <v>21</v>
      </c>
      <c r="E17" s="13">
        <v>46308</v>
      </c>
      <c r="F17" s="13" t="s">
        <v>292</v>
      </c>
      <c r="G17" s="14">
        <v>1</v>
      </c>
      <c r="H17" s="12" t="s">
        <v>587</v>
      </c>
      <c r="I17" s="12" t="s">
        <v>588</v>
      </c>
      <c r="J17" s="12" t="s">
        <v>589</v>
      </c>
      <c r="K17" s="12" t="s">
        <v>590</v>
      </c>
      <c r="L17" s="12" t="s">
        <v>591</v>
      </c>
      <c r="M17" s="12" t="s">
        <v>592</v>
      </c>
      <c r="N17" s="12" t="s">
        <v>528</v>
      </c>
    </row>
  </sheetData>
  <conditionalFormatting sqref="C11:C12">
    <cfRule type="containsText" dxfId="32" priority="7" operator="containsText" text="Red"/>
    <cfRule type="containsText" dxfId="31" priority="8" operator="containsText" text="Amber"/>
    <cfRule type="containsText" dxfId="30" priority="9" operator="containsText" text="Green"/>
  </conditionalFormatting>
  <conditionalFormatting sqref="C14:D15">
    <cfRule type="containsText" dxfId="29" priority="4" operator="containsText" text="Red"/>
    <cfRule type="containsText" dxfId="28" priority="5" operator="containsText" text="Amber"/>
    <cfRule type="containsText" dxfId="27" priority="6" operator="containsText" text="Green"/>
  </conditionalFormatting>
  <conditionalFormatting sqref="C17:D17">
    <cfRule type="containsText" dxfId="26" priority="1" operator="containsText" text="Red"/>
    <cfRule type="containsText" dxfId="25" priority="2" operator="containsText" text="Amber"/>
    <cfRule type="containsText" dxfId="24" priority="3" operator="containsText" text="Green"/>
  </conditionalFormatting>
  <conditionalFormatting sqref="D2:D12">
    <cfRule type="containsText" dxfId="23" priority="12" operator="containsText" text="Red"/>
    <cfRule type="containsText" dxfId="22" priority="13" operator="containsText" text="Amber"/>
    <cfRule type="containsText" dxfId="21" priority="14" operator="containsText" text="Green"/>
  </conditionalFormatting>
  <conditionalFormatting sqref="F2:F13">
    <cfRule type="dataBar" priority="10">
      <dataBar>
        <cfvo type="min"/>
        <cfvo type="max"/>
        <color rgb="FF5B9BD5"/>
      </dataBar>
    </cfRule>
    <cfRule type="dataBar" priority="11">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{CC73D050-47EE-4D35-AB70-86594038F48C}</x14:id>
        </ext>
      </extLst>
    </cfRule>
  </conditionalFormatting>
  <dataValidations count="1">
    <dataValidation type="list" sqref="D2:D12 D14:D15 D17" xr:uid="{17789BC5-EE23-41ED-A626-51AE4B7897DB}">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C73D050-47EE-4D35-AB70-86594038F48C}">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7"/>
  <sheetViews>
    <sheetView workbookViewId="0">
      <selection activeCell="B2" sqref="B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29">
      <c r="A1" s="6" t="s">
        <v>0</v>
      </c>
      <c r="B1" s="6" t="s">
        <v>1</v>
      </c>
      <c r="C1" s="6" t="s">
        <v>2</v>
      </c>
      <c r="D1" s="6" t="s">
        <v>3</v>
      </c>
      <c r="E1" s="6" t="s">
        <v>4</v>
      </c>
      <c r="F1" s="6" t="s">
        <v>347</v>
      </c>
      <c r="G1" s="6" t="s">
        <v>5</v>
      </c>
      <c r="H1" s="6" t="s">
        <v>6</v>
      </c>
      <c r="I1" s="6" t="s">
        <v>7</v>
      </c>
      <c r="J1" s="6" t="s">
        <v>8</v>
      </c>
      <c r="K1" s="6" t="s">
        <v>9</v>
      </c>
      <c r="L1" s="6" t="s">
        <v>10</v>
      </c>
      <c r="M1" s="6" t="s">
        <v>11</v>
      </c>
      <c r="N1" s="1" t="s">
        <v>12</v>
      </c>
    </row>
    <row r="2" spans="1:14" ht="70">
      <c r="A2" s="7">
        <v>1</v>
      </c>
      <c r="B2" s="8" t="s">
        <v>146</v>
      </c>
      <c r="C2" s="7" t="s">
        <v>17</v>
      </c>
      <c r="D2" s="61" t="s">
        <v>13</v>
      </c>
      <c r="E2" s="9" t="s">
        <v>14</v>
      </c>
      <c r="F2" s="9" t="s">
        <v>14</v>
      </c>
      <c r="G2" s="10">
        <v>0.55000000000000004</v>
      </c>
      <c r="H2" s="8" t="s">
        <v>147</v>
      </c>
      <c r="I2" s="8" t="s">
        <v>148</v>
      </c>
      <c r="J2" s="8" t="s">
        <v>149</v>
      </c>
      <c r="K2" s="8" t="s">
        <v>593</v>
      </c>
      <c r="L2" s="8" t="s">
        <v>150</v>
      </c>
      <c r="M2" s="8" t="s">
        <v>151</v>
      </c>
      <c r="N2" s="4" t="s">
        <v>15</v>
      </c>
    </row>
    <row r="3" spans="1:14" ht="187.5">
      <c r="A3" s="11">
        <v>2</v>
      </c>
      <c r="B3" s="12" t="s">
        <v>594</v>
      </c>
      <c r="C3" s="15" t="s">
        <v>595</v>
      </c>
      <c r="D3" s="61" t="s">
        <v>13</v>
      </c>
      <c r="E3" s="13" t="s">
        <v>596</v>
      </c>
      <c r="F3" s="13" t="s">
        <v>597</v>
      </c>
      <c r="G3" s="14">
        <v>0.7</v>
      </c>
      <c r="H3" s="12" t="s">
        <v>598</v>
      </c>
      <c r="I3" s="12" t="s">
        <v>599</v>
      </c>
      <c r="J3" s="12" t="s">
        <v>600</v>
      </c>
      <c r="K3" s="12" t="s">
        <v>601</v>
      </c>
      <c r="L3" s="12" t="s">
        <v>602</v>
      </c>
      <c r="M3" s="12" t="s">
        <v>603</v>
      </c>
      <c r="N3" s="12" t="s">
        <v>604</v>
      </c>
    </row>
    <row r="4" spans="1:14" ht="182">
      <c r="A4" s="7">
        <v>3</v>
      </c>
      <c r="B4" s="8" t="s">
        <v>605</v>
      </c>
      <c r="C4" s="7" t="s">
        <v>606</v>
      </c>
      <c r="D4" s="62" t="s">
        <v>13</v>
      </c>
      <c r="E4" s="9" t="s">
        <v>607</v>
      </c>
      <c r="F4" s="9" t="s">
        <v>608</v>
      </c>
      <c r="G4" s="10">
        <v>0.6</v>
      </c>
      <c r="H4" s="8" t="s">
        <v>609</v>
      </c>
      <c r="I4" s="8" t="s">
        <v>610</v>
      </c>
      <c r="J4" s="8" t="s">
        <v>611</v>
      </c>
      <c r="K4" s="8" t="s">
        <v>612</v>
      </c>
      <c r="L4" s="8" t="s">
        <v>613</v>
      </c>
      <c r="M4" s="8" t="s">
        <v>614</v>
      </c>
      <c r="N4" s="4" t="s">
        <v>615</v>
      </c>
    </row>
    <row r="5" spans="1:14" ht="70">
      <c r="A5" s="7">
        <v>4</v>
      </c>
      <c r="B5" s="8" t="s">
        <v>616</v>
      </c>
      <c r="C5" s="7" t="s">
        <v>617</v>
      </c>
      <c r="D5" s="110" t="s">
        <v>21</v>
      </c>
      <c r="E5" s="9">
        <v>46237</v>
      </c>
      <c r="F5" s="9" t="s">
        <v>14</v>
      </c>
      <c r="G5" s="10">
        <v>1</v>
      </c>
      <c r="H5" s="8" t="s">
        <v>618</v>
      </c>
      <c r="I5" s="8" t="s">
        <v>619</v>
      </c>
      <c r="J5" s="8" t="s">
        <v>620</v>
      </c>
      <c r="K5" s="8" t="s">
        <v>593</v>
      </c>
      <c r="L5" s="8" t="s">
        <v>621</v>
      </c>
      <c r="M5" s="8" t="s">
        <v>622</v>
      </c>
      <c r="N5" s="4" t="s">
        <v>15</v>
      </c>
    </row>
    <row r="6" spans="1:14" ht="70">
      <c r="A6" s="7">
        <v>5</v>
      </c>
      <c r="B6" s="8" t="s">
        <v>152</v>
      </c>
      <c r="C6" s="7" t="s">
        <v>17</v>
      </c>
      <c r="D6" s="62" t="s">
        <v>13</v>
      </c>
      <c r="E6" s="9">
        <v>46237</v>
      </c>
      <c r="F6" s="9" t="s">
        <v>14</v>
      </c>
      <c r="G6" s="10">
        <v>0.5</v>
      </c>
      <c r="H6" s="8" t="s">
        <v>623</v>
      </c>
      <c r="I6" s="8" t="s">
        <v>624</v>
      </c>
      <c r="J6" s="8" t="s">
        <v>625</v>
      </c>
      <c r="K6" s="8" t="s">
        <v>593</v>
      </c>
      <c r="L6" s="8" t="s">
        <v>626</v>
      </c>
      <c r="M6" s="8" t="s">
        <v>627</v>
      </c>
      <c r="N6" s="4" t="s">
        <v>15</v>
      </c>
    </row>
    <row r="7" spans="1:14" ht="70">
      <c r="A7" s="7">
        <v>6</v>
      </c>
      <c r="B7" s="8" t="s">
        <v>153</v>
      </c>
      <c r="C7" s="7" t="s">
        <v>154</v>
      </c>
      <c r="D7" s="62" t="s">
        <v>13</v>
      </c>
      <c r="E7" s="9">
        <v>46237</v>
      </c>
      <c r="F7" s="9" t="s">
        <v>14</v>
      </c>
      <c r="G7" s="10">
        <v>0.5</v>
      </c>
      <c r="H7" s="8" t="s">
        <v>155</v>
      </c>
      <c r="I7" s="8" t="s">
        <v>156</v>
      </c>
      <c r="J7" s="8" t="s">
        <v>157</v>
      </c>
      <c r="K7" s="8" t="s">
        <v>593</v>
      </c>
      <c r="L7" s="8" t="s">
        <v>158</v>
      </c>
      <c r="M7" s="8" t="s">
        <v>159</v>
      </c>
      <c r="N7" s="4" t="s">
        <v>15</v>
      </c>
    </row>
    <row r="8" spans="1:14" ht="182">
      <c r="A8" s="7">
        <v>7</v>
      </c>
      <c r="B8" s="8" t="s">
        <v>160</v>
      </c>
      <c r="C8" s="7" t="s">
        <v>628</v>
      </c>
      <c r="D8" s="62" t="s">
        <v>13</v>
      </c>
      <c r="E8" s="9">
        <v>46237</v>
      </c>
      <c r="F8" s="9" t="s">
        <v>14</v>
      </c>
      <c r="G8" s="10" t="s">
        <v>14</v>
      </c>
      <c r="H8" s="8" t="s">
        <v>629</v>
      </c>
      <c r="I8" s="8" t="s">
        <v>630</v>
      </c>
      <c r="J8" s="8" t="s">
        <v>631</v>
      </c>
      <c r="K8" s="8" t="s">
        <v>593</v>
      </c>
      <c r="L8" s="8" t="s">
        <v>632</v>
      </c>
      <c r="M8" s="8" t="s">
        <v>633</v>
      </c>
      <c r="N8" s="4" t="s">
        <v>615</v>
      </c>
    </row>
    <row r="9" spans="1:14" ht="70">
      <c r="A9" s="7">
        <v>8</v>
      </c>
      <c r="B9" s="8" t="s">
        <v>161</v>
      </c>
      <c r="C9" s="7" t="s">
        <v>162</v>
      </c>
      <c r="D9" s="62" t="s">
        <v>13</v>
      </c>
      <c r="E9" s="9">
        <v>46237</v>
      </c>
      <c r="F9" s="9" t="s">
        <v>14</v>
      </c>
      <c r="G9" s="10">
        <v>1</v>
      </c>
      <c r="H9" s="8" t="s">
        <v>163</v>
      </c>
      <c r="I9" s="8" t="s">
        <v>164</v>
      </c>
      <c r="J9" s="8" t="s">
        <v>165</v>
      </c>
      <c r="K9" s="8" t="s">
        <v>593</v>
      </c>
      <c r="L9" s="8" t="s">
        <v>166</v>
      </c>
      <c r="M9" s="8" t="s">
        <v>167</v>
      </c>
      <c r="N9" s="4" t="s">
        <v>15</v>
      </c>
    </row>
    <row r="10" spans="1:14" ht="70">
      <c r="A10" s="7">
        <v>9</v>
      </c>
      <c r="B10" s="8" t="s">
        <v>168</v>
      </c>
      <c r="C10" s="7" t="s">
        <v>169</v>
      </c>
      <c r="D10" s="62" t="s">
        <v>13</v>
      </c>
      <c r="E10" s="9">
        <v>46237</v>
      </c>
      <c r="F10" s="9" t="s">
        <v>14</v>
      </c>
      <c r="G10" s="10">
        <v>0.25</v>
      </c>
      <c r="H10" s="8" t="s">
        <v>170</v>
      </c>
      <c r="I10" s="8" t="s">
        <v>171</v>
      </c>
      <c r="J10" s="8" t="s">
        <v>172</v>
      </c>
      <c r="K10" s="8" t="s">
        <v>593</v>
      </c>
      <c r="L10" s="8" t="s">
        <v>173</v>
      </c>
      <c r="M10" s="8" t="s">
        <v>174</v>
      </c>
      <c r="N10" s="4" t="s">
        <v>15</v>
      </c>
    </row>
    <row r="11" spans="1:14" ht="70">
      <c r="A11" s="7">
        <v>10</v>
      </c>
      <c r="B11" s="8" t="s">
        <v>175</v>
      </c>
      <c r="C11" s="7" t="s">
        <v>176</v>
      </c>
      <c r="D11" s="62" t="s">
        <v>13</v>
      </c>
      <c r="E11" s="9">
        <v>46237</v>
      </c>
      <c r="F11" s="9" t="s">
        <v>14</v>
      </c>
      <c r="G11" s="10">
        <v>0.25</v>
      </c>
      <c r="H11" s="8" t="s">
        <v>177</v>
      </c>
      <c r="I11" s="8" t="s">
        <v>178</v>
      </c>
      <c r="J11" s="8" t="s">
        <v>179</v>
      </c>
      <c r="K11" s="8" t="s">
        <v>593</v>
      </c>
      <c r="L11" s="8" t="s">
        <v>180</v>
      </c>
      <c r="M11" s="8" t="s">
        <v>181</v>
      </c>
      <c r="N11" s="4" t="s">
        <v>15</v>
      </c>
    </row>
    <row r="12" spans="1:14" ht="70">
      <c r="A12" s="7">
        <v>11</v>
      </c>
      <c r="B12" s="8" t="s">
        <v>182</v>
      </c>
      <c r="C12" s="7" t="s">
        <v>183</v>
      </c>
      <c r="D12" s="62" t="s">
        <v>13</v>
      </c>
      <c r="E12" s="9">
        <v>46237</v>
      </c>
      <c r="F12" s="9" t="s">
        <v>14</v>
      </c>
      <c r="G12" s="10">
        <v>0.5</v>
      </c>
      <c r="H12" s="8" t="s">
        <v>184</v>
      </c>
      <c r="I12" s="8" t="s">
        <v>185</v>
      </c>
      <c r="J12" s="8" t="s">
        <v>186</v>
      </c>
      <c r="K12" s="8" t="s">
        <v>593</v>
      </c>
      <c r="L12" s="8" t="s">
        <v>187</v>
      </c>
      <c r="M12" s="8" t="s">
        <v>188</v>
      </c>
      <c r="N12" s="4" t="s">
        <v>15</v>
      </c>
    </row>
    <row r="13" spans="1:14" ht="125">
      <c r="A13" s="11">
        <v>12</v>
      </c>
      <c r="B13" s="105" t="s">
        <v>634</v>
      </c>
      <c r="C13" s="105" t="s">
        <v>635</v>
      </c>
      <c r="D13" s="62" t="s">
        <v>13</v>
      </c>
      <c r="E13" s="13" t="s">
        <v>636</v>
      </c>
      <c r="F13" s="13" t="s">
        <v>637</v>
      </c>
      <c r="G13" s="14">
        <v>0.65</v>
      </c>
      <c r="H13" s="12" t="s">
        <v>638</v>
      </c>
      <c r="I13" s="12" t="s">
        <v>639</v>
      </c>
      <c r="J13" s="12" t="s">
        <v>640</v>
      </c>
      <c r="K13" s="12" t="s">
        <v>641</v>
      </c>
      <c r="L13" s="12" t="s">
        <v>642</v>
      </c>
      <c r="M13" s="12" t="s">
        <v>643</v>
      </c>
      <c r="N13" s="12" t="s">
        <v>615</v>
      </c>
    </row>
    <row r="14" spans="1:14" ht="87.5">
      <c r="A14" s="11">
        <v>13</v>
      </c>
      <c r="B14" s="12" t="s">
        <v>189</v>
      </c>
      <c r="C14" s="19" t="s">
        <v>190</v>
      </c>
      <c r="D14" s="67" t="s">
        <v>13</v>
      </c>
      <c r="E14" s="13" t="s">
        <v>191</v>
      </c>
      <c r="F14" s="13" t="s">
        <v>192</v>
      </c>
      <c r="G14" s="14">
        <v>0.75</v>
      </c>
      <c r="H14" s="12" t="s">
        <v>193</v>
      </c>
      <c r="I14" s="12" t="s">
        <v>644</v>
      </c>
      <c r="J14" s="12" t="s">
        <v>194</v>
      </c>
      <c r="K14" s="12" t="s">
        <v>195</v>
      </c>
      <c r="L14" s="12" t="s">
        <v>196</v>
      </c>
      <c r="M14" s="12" t="s">
        <v>197</v>
      </c>
      <c r="N14" s="12" t="s">
        <v>35</v>
      </c>
    </row>
    <row r="15" spans="1:14" ht="112.5">
      <c r="A15" s="11">
        <v>14</v>
      </c>
      <c r="B15" s="12" t="s">
        <v>198</v>
      </c>
      <c r="C15" s="19" t="s">
        <v>199</v>
      </c>
      <c r="D15" s="67" t="s">
        <v>13</v>
      </c>
      <c r="E15" s="13" t="s">
        <v>14</v>
      </c>
      <c r="F15" s="13" t="s">
        <v>14</v>
      </c>
      <c r="G15" s="14">
        <v>0.55000000000000004</v>
      </c>
      <c r="H15" s="12" t="s">
        <v>200</v>
      </c>
      <c r="I15" s="12" t="s">
        <v>262</v>
      </c>
      <c r="J15" s="12" t="s">
        <v>263</v>
      </c>
      <c r="K15" s="12" t="s">
        <v>645</v>
      </c>
      <c r="L15" s="12" t="s">
        <v>264</v>
      </c>
      <c r="M15" s="12" t="s">
        <v>201</v>
      </c>
      <c r="N15" s="12" t="s">
        <v>265</v>
      </c>
    </row>
    <row r="16" spans="1:14" ht="238">
      <c r="A16" s="16">
        <v>15</v>
      </c>
      <c r="B16" s="5" t="s">
        <v>202</v>
      </c>
      <c r="C16" s="19" t="s">
        <v>646</v>
      </c>
      <c r="D16" s="67" t="s">
        <v>13</v>
      </c>
      <c r="E16" s="17">
        <v>46283</v>
      </c>
      <c r="F16" s="16" t="s">
        <v>637</v>
      </c>
      <c r="G16" s="18">
        <v>0.1</v>
      </c>
      <c r="H16" s="5" t="s">
        <v>647</v>
      </c>
      <c r="I16" s="5" t="s">
        <v>648</v>
      </c>
      <c r="J16" s="5" t="s">
        <v>649</v>
      </c>
      <c r="K16" s="5" t="s">
        <v>650</v>
      </c>
      <c r="L16" s="5" t="s">
        <v>651</v>
      </c>
      <c r="M16" s="5" t="s">
        <v>652</v>
      </c>
      <c r="N16" s="5" t="s">
        <v>653</v>
      </c>
    </row>
    <row r="17" spans="1:14" ht="168">
      <c r="A17" s="5">
        <v>16</v>
      </c>
      <c r="B17" s="5" t="s">
        <v>654</v>
      </c>
      <c r="C17" s="19" t="s">
        <v>655</v>
      </c>
      <c r="D17" s="67" t="s">
        <v>13</v>
      </c>
      <c r="E17" s="5" t="s">
        <v>69</v>
      </c>
      <c r="F17" s="5" t="s">
        <v>656</v>
      </c>
      <c r="G17" s="111">
        <v>0.2</v>
      </c>
      <c r="H17" s="5" t="s">
        <v>657</v>
      </c>
      <c r="I17" s="5" t="s">
        <v>658</v>
      </c>
      <c r="J17" s="5" t="s">
        <v>659</v>
      </c>
      <c r="K17" s="5" t="s">
        <v>660</v>
      </c>
      <c r="L17" s="5" t="s">
        <v>661</v>
      </c>
      <c r="M17" s="5" t="s">
        <v>662</v>
      </c>
      <c r="N17" s="5" t="s">
        <v>663</v>
      </c>
    </row>
  </sheetData>
  <conditionalFormatting sqref="B13:C13">
    <cfRule type="containsText" dxfId="20" priority="1" operator="containsText" text="Completed"/>
    <cfRule type="containsText" dxfId="19" priority="2" operator="containsText" text="In Progress"/>
    <cfRule type="containsText" dxfId="18" priority="3" operator="containsText" text="At Risk"/>
    <cfRule type="containsText" dxfId="17" priority="4" operator="containsText" text="Not Started"/>
  </conditionalFormatting>
  <conditionalFormatting sqref="C2:C12">
    <cfRule type="containsText" dxfId="16" priority="6" operator="containsText" text="Completed"/>
    <cfRule type="containsText" dxfId="15" priority="7" operator="containsText" text="In Progress"/>
    <cfRule type="containsText" dxfId="14" priority="8" operator="containsText" text="At Risk"/>
    <cfRule type="containsText" dxfId="13" priority="9" operator="containsText" text="Not Started"/>
  </conditionalFormatting>
  <conditionalFormatting sqref="D2:D13">
    <cfRule type="containsText" dxfId="12" priority="14" operator="containsText" text="Red"/>
    <cfRule type="containsText" dxfId="11" priority="15" operator="containsText" text="Amber"/>
    <cfRule type="containsText" dxfId="10" priority="16"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extLst>
        <ext xmlns:x14="http://schemas.microsoft.com/office/spreadsheetml/2009/9/main" uri="{B025F937-C7B1-47D3-B67F-A62EFF666E3E}">
          <x14:id>{CB77939C-04DC-4903-A022-8E93EEFE2F9E}</x14:id>
        </ext>
      </extLst>
    </cfRule>
  </conditionalFormatting>
  <dataValidations count="3">
    <dataValidation type="list" sqref="D2:D12" xr:uid="{9390CA50-F7BA-4A2C-8FDE-93CC25C62E08}">
      <formula1>"Red,Amber,Green"</formula1>
    </dataValidation>
    <dataValidation type="decimal" sqref="F2:F12" xr:uid="{6EB79A11-F990-4553-A519-D884D322A4FC}">
      <formula1>0</formula1>
      <formula2>1</formula2>
    </dataValidation>
    <dataValidation type="list" sqref="C2:C12" xr:uid="{B00B5117-79E1-4430-8292-F8149DB9B611}">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B77939C-04DC-4903-A022-8E93EEFE2F9E}">
            <x14:dataBar>
              <x14:cfvo type="min"/>
              <x14:cfvo type="max"/>
              <x14:negativeFillColor auto="1"/>
              <x14:axisColor auto="1"/>
            </x14:dataBar>
          </x14:cfRule>
          <xm:sqref>F2:F12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IT 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2026-10-26T14:05:15Z</dcterms:modified>
</cp:coreProperties>
</file>